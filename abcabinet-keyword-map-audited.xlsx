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Cluster Summary" sheetId="2" r:id="rId6"/>
    <sheet state="visible" name="Priority Map" sheetId="3" r:id="rId7"/>
    <sheet state="visible" name="Gaps to Add" sheetId="4" r:id="rId8"/>
    <sheet state="visible" name="Cut List" sheetId="5" r:id="rId9"/>
    <sheet state="visible" name="Review" sheetId="6" r:id="rId10"/>
  </sheets>
  <definedNames/>
  <calcPr/>
</workbook>
</file>

<file path=xl/sharedStrings.xml><?xml version="1.0" encoding="utf-8"?>
<sst xmlns="http://schemas.openxmlformats.org/spreadsheetml/2006/main" count="2883" uniqueCount="935">
  <si>
    <t>American Built Cabinets - Cleaned Keyword Map</t>
  </si>
  <si>
    <t>Source: Semrush Keyword Strategy Builder export (767 keywords), audited 23 July 2026.</t>
  </si>
  <si>
    <t>What was done</t>
  </si>
  <si>
    <t>The original export mapped 767 keywords across 32 URLs. 313 were removed and 71 flagged for review.</t>
  </si>
  <si>
    <t>Removals fall into eight buckets, each named in the 'Cut List' tab so you can overrule any of them.</t>
  </si>
  <si>
    <t>Cluster</t>
  </si>
  <si>
    <t>The largest single problem was audience drift: keywords about kitchen remodeling, DIY cabinet</t>
  </si>
  <si>
    <t>Cluster Summary - build order</t>
  </si>
  <si>
    <t>building, cabinet painting, furniture retail and San Jose community events. None of these</t>
  </si>
  <si>
    <t>Keywords the strategy file missed</t>
  </si>
  <si>
    <t>describe someone commissioning custom cabinetry from a manufacturer.</t>
  </si>
  <si>
    <t>Tabs</t>
  </si>
  <si>
    <t>Keywords and Volume are live SUMIFS/COUNTIFS against the Priority Map tab.</t>
  </si>
  <si>
    <t>Sourced from your Organic Positions export and the Otterly AI brand report. The first three are the single biggest omission: a cluster you already rank #13 for.</t>
  </si>
  <si>
    <t>Priority Map   - the 383 keywords worth keeping, grouped into 15 clusters with a target page.</t>
  </si>
  <si>
    <t>Cluster Summary - volume and difficulty per cluster, with build order. Start here.</t>
  </si>
  <si>
    <t>Gaps to Add    - keywords the strategy file missed entirely, pulled from your Positions export</t>
  </si>
  <si>
    <t>Target page</t>
  </si>
  <si>
    <t xml:space="preserve">                 and the Otterly AI report. These include your best existing ranking.</t>
  </si>
  <si>
    <t>Keyword</t>
  </si>
  <si>
    <t>Cut List       - every removed keyword and the reason.</t>
  </si>
  <si>
    <t>Review         - 71 keywords that did not match a cluster rule. Judgement call.</t>
  </si>
  <si>
    <t>How to read the columns</t>
  </si>
  <si>
    <t>Vol</t>
  </si>
  <si>
    <t>Vol  - Semrush US monthly search volume. Note these differ slightly from the Positions export;</t>
  </si>
  <si>
    <t>KD</t>
  </si>
  <si>
    <t>Keywords</t>
  </si>
  <si>
    <t xml:space="preserve">       Keyword Strategy Builder and Organic Research pull from different index snapshots.</t>
  </si>
  <si>
    <t>Intent</t>
  </si>
  <si>
    <t>Total Vol</t>
  </si>
  <si>
    <t>KD   - Keyword Difficulty 0-100. Anything above 45 was cut unless it carried a local modifier.</t>
  </si>
  <si>
    <t xml:space="preserve">       KD shown as 0 means Semrush returned no score, not that the keyword is easy.</t>
  </si>
  <si>
    <t>Score</t>
  </si>
  <si>
    <t>Score - Vol / (KD^0.9). A rough opportunity ranking, not a forecast. Use it to sort, not to promise.</t>
  </si>
  <si>
    <t>Why it matters</t>
  </si>
  <si>
    <t>Assumptions you should check</t>
  </si>
  <si>
    <t>1. Cluster assignment uses first-match keyword rules. A keyword that fits two clusters landed in</t>
  </si>
  <si>
    <t>Note</t>
  </si>
  <si>
    <t>Med KD</t>
  </si>
  <si>
    <t>inset vs overlay cabinets</t>
  </si>
  <si>
    <t xml:space="preserve">   the first one listed. Move anything that reads wrong - the rules are a starting point.</t>
  </si>
  <si>
    <t>2. KD ceiling of 45 reflects a domain with 138 referring domains, most of them low quality.</t>
  </si>
  <si>
    <t>Commercial cabinetry</t>
  </si>
  <si>
    <t>Priority</t>
  </si>
  <si>
    <t xml:space="preserve">   Raise it once the backlink profile is cleaned up.</t>
  </si>
  <si>
    <t>/commercial (NEW PAGE)</t>
  </si>
  <si>
    <t>commercial cabinets</t>
  </si>
  <si>
    <t>3. Volume of 0 was treated as no demand for Google. It is not zero demand for AI search -</t>
  </si>
  <si>
    <t>Page status</t>
  </si>
  <si>
    <t xml:space="preserve">   see the Gaps to Add tab.</t>
  </si>
  <si>
    <t>Action</t>
  </si>
  <si>
    <t>Door styles &amp; cabinet types</t>
  </si>
  <si>
    <t>commercial</t>
  </si>
  <si>
    <t>/blog/inset-vs-overlay-cabinets...</t>
  </si>
  <si>
    <t>/colors-finishes</t>
  </si>
  <si>
    <t>Ranks #13 already. Whole cluster absent from strategy file.</t>
  </si>
  <si>
    <t>inset cabinets vs overlay cabinets</t>
  </si>
  <si>
    <t>Ranks #30. Same page.</t>
  </si>
  <si>
    <t>inset cabinets vs overlay</t>
  </si>
  <si>
    <t>Ranks #37. Same page.</t>
  </si>
  <si>
    <t>kitchen cabinets san jose ca</t>
  </si>
  <si>
    <t>/ (homepage)</t>
  </si>
  <si>
    <t>Ranks #31. Highest-volume San Jose term; missing from strategy.</t>
  </si>
  <si>
    <t>san jose ca cabinets</t>
  </si>
  <si>
    <t>commercial cabinetry</t>
  </si>
  <si>
    <t>Ranks #24. Missing from strategy.</t>
  </si>
  <si>
    <t>cabinet makers in san jose ca</t>
  </si>
  <si>
    <t>Ranks #68. CPC $6.09.</t>
  </si>
  <si>
    <t>cabinet maker san jose ca</t>
  </si>
  <si>
    <t>Exists</t>
  </si>
  <si>
    <t>commercial grade cabinets</t>
  </si>
  <si>
    <t>Ranks #15. CPC $7.10 - highest-value term on the site.</t>
  </si>
  <si>
    <t>Split into 3 pages - it is carrying 65 keywords alone</t>
  </si>
  <si>
    <t>cabinet store san jose</t>
  </si>
  <si>
    <t>Two-tone &amp; cabinet colors</t>
  </si>
  <si>
    <t>commercial building cabinet</t>
  </si>
  <si>
    <t>Ranks #26, new entry. KD 8.</t>
  </si>
  <si>
    <t>/blog/two-tone-kitchen-cabinets...</t>
  </si>
  <si>
    <t>ikea cabinets installation service</t>
  </si>
  <si>
    <t>informational, transactional</t>
  </si>
  <si>
    <t>informational</t>
  </si>
  <si>
    <t>/service/installation</t>
  </si>
  <si>
    <t>Ranks #69. CPC $5.47.</t>
  </si>
  <si>
    <t>custom commercial cabinetry</t>
  </si>
  <si>
    <t>custom cabinet lead time</t>
  </si>
  <si>
    <t>n/a</t>
  </si>
  <si>
    <t>/blog/how-long-do-custom-kitchen-cabinets-take...</t>
  </si>
  <si>
    <t>KD unavailable</t>
  </si>
  <si>
    <t>No Semrush volume, but drove 20 AI citations (Otterly prompt #1). Build for AI search, not Google.</t>
  </si>
  <si>
    <t>Cost &amp; pricing</t>
  </si>
  <si>
    <t>cabinet lead times bay area</t>
  </si>
  <si>
    <t>/pricing (NEW PAGE)</t>
  </si>
  <si>
    <t>custom cabinet cost</t>
  </si>
  <si>
    <t>Same - AI-search demand that Semrush cannot see.</t>
  </si>
  <si>
    <t>Expand; strongest colour cluster</t>
  </si>
  <si>
    <t>cabinet supplier for home builders</t>
  </si>
  <si>
    <t>informational, commercial</t>
  </si>
  <si>
    <t>Materials: MDF/plywood/wood</t>
  </si>
  <si>
    <t>/blog/mdf-vs-plywood-vs-solid-wood...</t>
  </si>
  <si>
    <t>custom cabinets prices</t>
  </si>
  <si>
    <t>/trade-program</t>
  </si>
  <si>
    <t>Otterly prompt #3. Zero Semrush volume, real buyer question.</t>
  </si>
  <si>
    <t>kitchen cabinets pricing</t>
  </si>
  <si>
    <t>integrated material solutions cabinetry</t>
  </si>
  <si>
    <t>transactional</t>
  </si>
  <si>
    <t>Otterly prompt #1 by mention count.</t>
  </si>
  <si>
    <t>cabinet pricing</t>
  </si>
  <si>
    <t>Expand; low KD across the board</t>
  </si>
  <si>
    <t>Shaker style</t>
  </si>
  <si>
    <t>Custom cabinetry - general</t>
  </si>
  <si>
    <t>/blog/modern-shaker-cabinets...</t>
  </si>
  <si>
    <t>/service</t>
  </si>
  <si>
    <t>custom made cabinets</t>
  </si>
  <si>
    <t>custom cabinets for bedroom</t>
  </si>
  <si>
    <t>custom cabinets for bathroom</t>
  </si>
  <si>
    <t>Make this a pillar page - median KD 17</t>
  </si>
  <si>
    <t>Dining room cabinets</t>
  </si>
  <si>
    <t>customizable cabinets</t>
  </si>
  <si>
    <t>/blog/modern-dining-room-cabinet-solutions...</t>
  </si>
  <si>
    <t>building custom cabinets</t>
  </si>
  <si>
    <t>custom oak cabinets</t>
  </si>
  <si>
    <t>Check intent - much of this is furniture shopping</t>
  </si>
  <si>
    <t>Finishes: paint vs stain</t>
  </si>
  <si>
    <t>/blog/cabinet-finishes-explained...</t>
  </si>
  <si>
    <t>custom cabinets for kitchen</t>
  </si>
  <si>
    <t>Removed keywords</t>
  </si>
  <si>
    <t>Overrule anything here that you disagree with - these are rules, not judgements about your business.</t>
  </si>
  <si>
    <t>custom base cabinets</t>
  </si>
  <si>
    <t>custom order cabinets</t>
  </si>
  <si>
    <t>Reason cut</t>
  </si>
  <si>
    <t>Expand; median KD 15, lowest on the site</t>
  </si>
  <si>
    <t>Installation service</t>
  </si>
  <si>
    <t>diy kitchen cabinets</t>
  </si>
  <si>
    <t>DIY / woodworking hobbyist</t>
  </si>
  <si>
    <t>custom cabinets doors</t>
  </si>
  <si>
    <t>how to make kitchen cabinets</t>
  </si>
  <si>
    <t>custom cabinet faces</t>
  </si>
  <si>
    <t>how to build kitchen cabinets</t>
  </si>
  <si>
    <t>Add local modifiers</t>
  </si>
  <si>
    <t>Design consultation</t>
  </si>
  <si>
    <t>kitchen cabinet plans</t>
  </si>
  <si>
    <t>custom cabinetry online</t>
  </si>
  <si>
    <t>/service/design-consultation</t>
  </si>
  <si>
    <t>build cabinets</t>
  </si>
  <si>
    <t>cabinet customization</t>
  </si>
  <si>
    <t>building a cabinet</t>
  </si>
  <si>
    <t>custom cabinet options</t>
  </si>
  <si>
    <t>Thin - needs real content</t>
  </si>
  <si>
    <t>kitchen cabinet blueprints</t>
  </si>
  <si>
    <t>custom cabinet shelving</t>
  </si>
  <si>
    <t>good wood for cabinet making</t>
  </si>
  <si>
    <t>woodworking cabinets</t>
  </si>
  <si>
    <t>kitchen cabinets design</t>
  </si>
  <si>
    <t>how do you build kitchen cabinets</t>
  </si>
  <si>
    <t>Split trade vs residential</t>
  </si>
  <si>
    <t>Local: Bay Area &amp; SF</t>
  </si>
  <si>
    <t>how to make custom cabinets</t>
  </si>
  <si>
    <t>cabinet kitchen design</t>
  </si>
  <si>
    <t>build your own custom cabinets</t>
  </si>
  <si>
    <t>diy kitchen cabinets ideas</t>
  </si>
  <si>
    <t>kitchen cabinets design images</t>
  </si>
  <si>
    <t>kitchen cabinet building plans</t>
  </si>
  <si>
    <t>2026 kitchen designs</t>
  </si>
  <si>
    <t>how to build cabinetry</t>
  </si>
  <si>
    <t>Quality &amp; brand comparison</t>
  </si>
  <si>
    <t>/about</t>
  </si>
  <si>
    <t>cabinet building supplies</t>
  </si>
  <si>
    <t>kitchen cabinetry designs</t>
  </si>
  <si>
    <t>woodworking kitchen cabinets</t>
  </si>
  <si>
    <t>design a kitchen cabinet</t>
  </si>
  <si>
    <t>cnc cabinet making</t>
  </si>
  <si>
    <t>design your own cabinets</t>
  </si>
  <si>
    <t>best wood to make cabinets</t>
  </si>
  <si>
    <t>cabinet layout ideas</t>
  </si>
  <si>
    <t>best wood to build cabinets</t>
  </si>
  <si>
    <t>Stop competing with homepage on brand terms</t>
  </si>
  <si>
    <t>building your own kitchen cabinets</t>
  </si>
  <si>
    <t>wooden kitchen cabinets designs</t>
  </si>
  <si>
    <t>cnc machine for cabinet making</t>
  </si>
  <si>
    <t>how to make kitchen cabinet</t>
  </si>
  <si>
    <t>best kitchen cabinetry for custom designs</t>
  </si>
  <si>
    <t>best wood for building cabinets</t>
  </si>
  <si>
    <t>cabinet layout designer</t>
  </si>
  <si>
    <t>building a custom cabinet</t>
  </si>
  <si>
    <t>Unclustered - needs a human decision</t>
  </si>
  <si>
    <t>wood for making cabinets</t>
  </si>
  <si>
    <t>These passed the cut rules but matched no cluster pattern. Assign or discard.</t>
  </si>
  <si>
    <t>kitchen cabinets layout ideas</t>
  </si>
  <si>
    <t>woodworking cabinet design</t>
  </si>
  <si>
    <t>cabinet building supply</t>
  </si>
  <si>
    <t>MISSING</t>
  </si>
  <si>
    <t>Originally assigned to</t>
  </si>
  <si>
    <t>how to choose kitchen cabinet color</t>
  </si>
  <si>
    <t>Build it - median KD 8, currently on a portfolio page</t>
  </si>
  <si>
    <t>coffee bar cabinet</t>
  </si>
  <si>
    <t>(unassigned)</t>
  </si>
  <si>
    <t>cabinet 3d design</t>
  </si>
  <si>
    <t>white kitchen cabinets</t>
  </si>
  <si>
    <t>build custom cabinets</t>
  </si>
  <si>
    <t>kitchen storage cabinets</t>
  </si>
  <si>
    <t>kitchen cabinet build plans</t>
  </si>
  <si>
    <t>kitchen cabinets paint</t>
  </si>
  <si>
    <t>distinctive cabinetry designs</t>
  </si>
  <si>
    <t>base kitchen cabinets</t>
  </si>
  <si>
    <t>cabinet making machines</t>
  </si>
  <si>
    <t>cabinet building</t>
  </si>
  <si>
    <t>cabinet maker supplies</t>
  </si>
  <si>
    <t>kitchen cabinets wooden</t>
  </si>
  <si>
    <t>dining room cabinets</t>
  </si>
  <si>
    <t>how to stain kitchen cabinet</t>
  </si>
  <si>
    <t>kitchen cabinets pictures gallery</t>
  </si>
  <si>
    <t>dining area storage cabinet</t>
  </si>
  <si>
    <t>kitchen trends 2026</t>
  </si>
  <si>
    <t>how to buy kitchen cabinets</t>
  </si>
  <si>
    <t>Build it - bottom of funnel, nothing targets this</t>
  </si>
  <si>
    <t>Trade / builders / multifamily</t>
  </si>
  <si>
    <t>type of kitchen cabinets</t>
  </si>
  <si>
    <t>custom cabinets diy</t>
  </si>
  <si>
    <t>dining storage cabinet</t>
  </si>
  <si>
    <t>cabinet solutions</t>
  </si>
  <si>
    <t>wood for building cabinets</t>
  </si>
  <si>
    <t>types of kitchen cabinet</t>
  </si>
  <si>
    <t>contemporary dining room cabinets</t>
  </si>
  <si>
    <t>cnc cabinet automation</t>
  </si>
  <si>
    <t>/blog</t>
  </si>
  <si>
    <t>nan</t>
  </si>
  <si>
    <t>kitchen cabinets styles</t>
  </si>
  <si>
    <t>cabinet refinishing</t>
  </si>
  <si>
    <t>modern dining cabinet</t>
  </si>
  <si>
    <t>kitchen cabinet types</t>
  </si>
  <si>
    <t>Matches your AI-search demand; expand</t>
  </si>
  <si>
    <t>DIY painting / refinishing</t>
  </si>
  <si>
    <t>Local: San Jose</t>
  </si>
  <si>
    <t>paint cabinets</t>
  </si>
  <si>
    <t>how much are cabinets for kitchen</t>
  </si>
  <si>
    <t>cabinets for dining room</t>
  </si>
  <si>
    <t>modern kitchen cabinet ideas</t>
  </si>
  <si>
    <t>kitchen cabinet decor</t>
  </si>
  <si>
    <t>cabinet and doors</t>
  </si>
  <si>
    <t>cabinets painting</t>
  </si>
  <si>
    <t>dining room wall cabinets</t>
  </si>
  <si>
    <t>kitchen cabinet remodel ideas</t>
  </si>
  <si>
    <t>painting cabinets colors</t>
  </si>
  <si>
    <t>different types of kitchen cabinets</t>
  </si>
  <si>
    <t>See Gaps tab - the real San Jose terms are missing here</t>
  </si>
  <si>
    <t>what color to paint kitchen cabinets</t>
  </si>
  <si>
    <t>dining room cabinets with doors</t>
  </si>
  <si>
    <t>TOTAL</t>
  </si>
  <si>
    <t>style cabinets</t>
  </si>
  <si>
    <t>what paint to use on cabinets</t>
  </si>
  <si>
    <t>wood for kitchen cabinets</t>
  </si>
  <si>
    <t>dining cabinets contemporary</t>
  </si>
  <si>
    <t>paint for cabinets kitchen</t>
  </si>
  <si>
    <t>Priority column left blank deliberately - fill it in yourself. Ranking these is a business decision about which customer you want more of (homeowner, builder, or commercial), not an SEO one.</t>
  </si>
  <si>
    <t>kitchen cabinet decoration</t>
  </si>
  <si>
    <t>kitchen cabinets for sink</t>
  </si>
  <si>
    <t>cabinet for dining</t>
  </si>
  <si>
    <t>painted cabinets ideas</t>
  </si>
  <si>
    <t>kitchen cabinets images</t>
  </si>
  <si>
    <t>diningroom cabinet</t>
  </si>
  <si>
    <t>cabinet painting ideas</t>
  </si>
  <si>
    <t>trending kitchen cabinets</t>
  </si>
  <si>
    <t>what color to paint my cabinets</t>
  </si>
  <si>
    <t>tall dining room cabinets</t>
  </si>
  <si>
    <t>cabinet kitchen styles</t>
  </si>
  <si>
    <t>decorating kitchen cabinets</t>
  </si>
  <si>
    <t>wood grain kitchen cabinets</t>
  </si>
  <si>
    <t>kitchen cabinet decorating ideas</t>
  </si>
  <si>
    <t>kitchen cabinets unique</t>
  </si>
  <si>
    <t>can you stain painted cabinets</t>
  </si>
  <si>
    <t>cabinet for kitchen appliances</t>
  </si>
  <si>
    <t>san jose bay area events</t>
  </si>
  <si>
    <t>cabinet interior</t>
  </si>
  <si>
    <t>wall cabinets for dining room</t>
  </si>
  <si>
    <t>Events audience - not buyers</t>
  </si>
  <si>
    <t>modern kitchen cabinets pictures gallery</t>
  </si>
  <si>
    <t>events in san jose</t>
  </si>
  <si>
    <t>kitchen cabinets for storage</t>
  </si>
  <si>
    <t>san jose happenings</t>
  </si>
  <si>
    <t>dining storage cabinets</t>
  </si>
  <si>
    <t>decor for kitchen cabinets</t>
  </si>
  <si>
    <t>san jose ca events</t>
  </si>
  <si>
    <t>kitchen cabinet inspo</t>
  </si>
  <si>
    <t>modern dining room cabinet ideas</t>
  </si>
  <si>
    <t>events bay area</t>
  </si>
  <si>
    <t>san jose city events</t>
  </si>
  <si>
    <t>picture of kitchen cabinets</t>
  </si>
  <si>
    <t>kitchen cabinets in dining room</t>
  </si>
  <si>
    <t>san jose event center events</t>
  </si>
  <si>
    <t>cabinets pictures</t>
  </si>
  <si>
    <t>san jose community events</t>
  </si>
  <si>
    <t>modern kitchen trends</t>
  </si>
  <si>
    <t>event san jose</t>
  </si>
  <si>
    <t>storage cabinets dining room</t>
  </si>
  <si>
    <t>modern kitchen cabinets pictures</t>
  </si>
  <si>
    <t>san jose convention center event</t>
  </si>
  <si>
    <t>cabinet service</t>
  </si>
  <si>
    <t>modern dining room buffet cabinet</t>
  </si>
  <si>
    <t>bay area event today</t>
  </si>
  <si>
    <t>kitchen cabinet examples</t>
  </si>
  <si>
    <t>event today san jose</t>
  </si>
  <si>
    <t>kitchen cabinets top decorating ideas</t>
  </si>
  <si>
    <t>dining room storage cabinet ideas</t>
  </si>
  <si>
    <t>bayarea events</t>
  </si>
  <si>
    <t>kitchen cabinets and bathroom cabinets</t>
  </si>
  <si>
    <t>eventos san jose california</t>
  </si>
  <si>
    <t>decorative kitchen cabinets</t>
  </si>
  <si>
    <t>cabinet dining room storage</t>
  </si>
  <si>
    <t>eventos san jose</t>
  </si>
  <si>
    <t>kitchen cabinets fronts</t>
  </si>
  <si>
    <t>kitchen cabinets are made of what</t>
  </si>
  <si>
    <t>modern dining room cabinet</t>
  </si>
  <si>
    <t>downtown san jose event</t>
  </si>
  <si>
    <t>distinctive cabinetry</t>
  </si>
  <si>
    <t>community events san jose ca</t>
  </si>
  <si>
    <t>best kitchen cabinet surfaces</t>
  </si>
  <si>
    <t>storage cabinets for dining room</t>
  </si>
  <si>
    <t>cabinetry industry events</t>
  </si>
  <si>
    <t>kitchen cabinet setup</t>
  </si>
  <si>
    <t>cabinetry events silicon valley</t>
  </si>
  <si>
    <t>wood for cabinet</t>
  </si>
  <si>
    <t>dining room cabinet design</t>
  </si>
  <si>
    <t>kitchen ideas 2026</t>
  </si>
  <si>
    <t>american built cabinets company events</t>
  </si>
  <si>
    <t>trending kitchen cabinet</t>
  </si>
  <si>
    <t>tall cabinets for dining room</t>
  </si>
  <si>
    <t>cabinetry manufacturer event</t>
  </si>
  <si>
    <t>painted cabinetry</t>
  </si>
  <si>
    <t>american built cabinets event</t>
  </si>
  <si>
    <t>custom dining room cabinets</t>
  </si>
  <si>
    <t>/blog/cabinet-finishes-explained-paint-stain-lacquer-laminate-veneer</t>
  </si>
  <si>
    <t>cabinets for room</t>
  </si>
  <si>
    <t>san jose local events</t>
  </si>
  <si>
    <t>samples of kitchen cabinets</t>
  </si>
  <si>
    <t>american built cabinets events san jose</t>
  </si>
  <si>
    <t>cabinet door styles</t>
  </si>
  <si>
    <t>kitchen cabinets 2026</t>
  </si>
  <si>
    <t>dining room sets</t>
  </si>
  <si>
    <t>kitchen cabinets ideas for storage</t>
  </si>
  <si>
    <t>Furniture retail - wrong product</t>
  </si>
  <si>
    <t>cabinet design</t>
  </si>
  <si>
    <t>dining room</t>
  </si>
  <si>
    <t>cool kitchen cabinets</t>
  </si>
  <si>
    <t>dining room table sets</t>
  </si>
  <si>
    <t>cabinet project</t>
  </si>
  <si>
    <t>types of cabinet doors</t>
  </si>
  <si>
    <t>unique kitchen cabinet ideas</t>
  </si>
  <si>
    <t>bathroom storage cabinet</t>
  </si>
  <si>
    <t>cabinet storage solutions kitchen</t>
  </si>
  <si>
    <t>dining room rooms</t>
  </si>
  <si>
    <t>cabinets countertop</t>
  </si>
  <si>
    <t>dining table and chairs</t>
  </si>
  <si>
    <t>cabinet styles</t>
  </si>
  <si>
    <t>wood doors for cabinets</t>
  </si>
  <si>
    <t>washroom wall cabinets</t>
  </si>
  <si>
    <t>types of kitchen cabinets doors</t>
  </si>
  <si>
    <t>types of cabinets</t>
  </si>
  <si>
    <t>dining room table cabinet</t>
  </si>
  <si>
    <t>what is the current trend in kitchen cabinets</t>
  </si>
  <si>
    <t>speciality kitchen cabinets</t>
  </si>
  <si>
    <t>kitchen with kitchen</t>
  </si>
  <si>
    <t>type of cabinet</t>
  </si>
  <si>
    <t>images of kitchen cabinet</t>
  </si>
  <si>
    <t>Garbled / nonsense query</t>
  </si>
  <si>
    <t>kitchen by kitchen</t>
  </si>
  <si>
    <t>kitchen cabinets style</t>
  </si>
  <si>
    <t>cabinet designs</t>
  </si>
  <si>
    <t>storage for cabinet</t>
  </si>
  <si>
    <t>the best kitchen cabinets</t>
  </si>
  <si>
    <t>cabinet kitchen cabinet doors</t>
  </si>
  <si>
    <t>kitchen cabinet designer</t>
  </si>
  <si>
    <t>what kitchen cabinets are in style</t>
  </si>
  <si>
    <t>kitchen cabinets cabinet doors</t>
  </si>
  <si>
    <t>style of cabinet doors</t>
  </si>
  <si>
    <t>cabinet frame styles</t>
  </si>
  <si>
    <t>doors cabinet doors</t>
  </si>
  <si>
    <t>cabinets images</t>
  </si>
  <si>
    <t>doors for a cabinet</t>
  </si>
  <si>
    <t>modern cabinet door styles</t>
  </si>
  <si>
    <t>kitchen cabinets kitchen cabinets for sale</t>
  </si>
  <si>
    <t>kitchen cabinet type</t>
  </si>
  <si>
    <t>kichen cabinet</t>
  </si>
  <si>
    <t>pictures of kitchen cabinet styles</t>
  </si>
  <si>
    <t>cabinets kitchen cabinets</t>
  </si>
  <si>
    <t>modern kitchen cabinet design</t>
  </si>
  <si>
    <t>comercial cabinets</t>
  </si>
  <si>
    <t>contemporary cabinet door styles</t>
  </si>
  <si>
    <t>custom cabineta</t>
  </si>
  <si>
    <t>custom cabinetry san jose</t>
  </si>
  <si>
    <t>cabinet doors and drawer fronts</t>
  </si>
  <si>
    <t>No search demand (0 volume)</t>
  </si>
  <si>
    <t>san jose custom cabinets</t>
  </si>
  <si>
    <t>style of cabinet doors in kitchen</t>
  </si>
  <si>
    <t>cabinet design san jose</t>
  </si>
  <si>
    <t>door style cabinets</t>
  </si>
  <si>
    <t>cabinet manufacturing san jose</t>
  </si>
  <si>
    <t>types of kitchen cabinet doors</t>
  </si>
  <si>
    <t>san jose custom cabinet manufacturer</t>
  </si>
  <si>
    <t>cabinet door profiles</t>
  </si>
  <si>
    <t>custom cabinet solutions san jose</t>
  </si>
  <si>
    <t>cabinet design program</t>
  </si>
  <si>
    <t>cabinet door designs</t>
  </si>
  <si>
    <t>local cabinet production san jose</t>
  </si>
  <si>
    <t>cabinet door sizes</t>
  </si>
  <si>
    <t>custom cabinetry manufacturer san jose</t>
  </si>
  <si>
    <t>cabinetry for small kitchens bay area</t>
  </si>
  <si>
    <t>types of cabinets for kitchen</t>
  </si>
  <si>
    <t>small kitchen storage solutions bay area</t>
  </si>
  <si>
    <t>functional kitchen design bay area</t>
  </si>
  <si>
    <t>cabinet door styles for kitchen</t>
  </si>
  <si>
    <t>kitchen cabinetry design san francisco</t>
  </si>
  <si>
    <t>styles of cabinets for kitchen</t>
  </si>
  <si>
    <t>veev custom cabinetry san francisco</t>
  </si>
  <si>
    <t>different cabinet door styles</t>
  </si>
  <si>
    <t>adu cabinetry solutions bay area</t>
  </si>
  <si>
    <t>accessory dwelling unit cabinets san jose</t>
  </si>
  <si>
    <t>different types of cabinet doors</t>
  </si>
  <si>
    <t>custom cabinetry for apartments bay area</t>
  </si>
  <si>
    <t>san francisco bay area cabinetry projects</t>
  </si>
  <si>
    <t>styles of cabinet doors</t>
  </si>
  <si>
    <t>san francisco bay area custom cabinetry projects</t>
  </si>
  <si>
    <t>custom cabinetry services bay area</t>
  </si>
  <si>
    <t>cabinet designs for kitchen</t>
  </si>
  <si>
    <t>cabinet design services bay area</t>
  </si>
  <si>
    <t>cabinet manufacturing installation bay area</t>
  </si>
  <si>
    <t>commercial cabinetry bay area</t>
  </si>
  <si>
    <t>cabinet style</t>
  </si>
  <si>
    <t>residential custom cabinetry bay area</t>
  </si>
  <si>
    <t>cabinetry design for homes bay area</t>
  </si>
  <si>
    <t>custom cabinet doors online</t>
  </si>
  <si>
    <t>custom cabinet manufacturing bay area</t>
  </si>
  <si>
    <t>custom commercial cabinets bay area</t>
  </si>
  <si>
    <t>traditional cabinet door styles</t>
  </si>
  <si>
    <t>bay area custom cabinetry</t>
  </si>
  <si>
    <t>cabinetry for builders bay area</t>
  </si>
  <si>
    <t>custom made cabinet doors</t>
  </si>
  <si>
    <t>bay area cabinetry expertise</t>
  </si>
  <si>
    <t>san francisco bay area custom cabinets</t>
  </si>
  <si>
    <t>type of cabinets</t>
  </si>
  <si>
    <t>local cabinet service bay area</t>
  </si>
  <si>
    <t>cabinet doors and panels</t>
  </si>
  <si>
    <t>custom cabinetry san francisco bay area</t>
  </si>
  <si>
    <t>commercial cabinetry san francisco</t>
  </si>
  <si>
    <t>cabinet fronts styles</t>
  </si>
  <si>
    <t>cabinet doors for kitchen</t>
  </si>
  <si>
    <t>door styles for cabinets</t>
  </si>
  <si>
    <t>american built cabinets commercial projects</t>
  </si>
  <si>
    <t>kitchen cabinet door types</t>
  </si>
  <si>
    <t>commercial cabinet projects san francisco</t>
  </si>
  <si>
    <t>local cabinet manufacturing trade</t>
  </si>
  <si>
    <t>cabinetry door profiles</t>
  </si>
  <si>
    <t>custom cabinetry uc davis</t>
  </si>
  <si>
    <t>kitchen cabinet door designs</t>
  </si>
  <si>
    <t>institutional cabinetry bay area</t>
  </si>
  <si>
    <t>kitchen cabinet doors styles</t>
  </si>
  <si>
    <t>bay area cabinet trade show</t>
  </si>
  <si>
    <t>cabinet fronts and drawers</t>
  </si>
  <si>
    <t>custom cabinetry portfolio bay area</t>
  </si>
  <si>
    <t>cabinet design for kitchen</t>
  </si>
  <si>
    <t>residential cabinet projects</t>
  </si>
  <si>
    <t>cabinet door design</t>
  </si>
  <si>
    <t>custom cabinet portfolio bay area</t>
  </si>
  <si>
    <t>cabinet doors custom</t>
  </si>
  <si>
    <t>uc davis cabinetry portfolio</t>
  </si>
  <si>
    <t>types of cabinet fronts</t>
  </si>
  <si>
    <t>cabinetry warranty san jose</t>
  </si>
  <si>
    <t>cabinet door construction</t>
  </si>
  <si>
    <t>cabinet repair san jose</t>
  </si>
  <si>
    <t>types of cabinetry</t>
  </si>
  <si>
    <t>kitchen cabinet fronts and doors</t>
  </si>
  <si>
    <t>cabinet warranty support san jose</t>
  </si>
  <si>
    <t>custom cabinet door replacement</t>
  </si>
  <si>
    <t>cabinet material comparison san francisco</t>
  </si>
  <si>
    <t>cabinet door options</t>
  </si>
  <si>
    <t>mdf vs plywood cabinets</t>
  </si>
  <si>
    <t>modern kitchen cabinet styles</t>
  </si>
  <si>
    <t>best cabinet materials bay area</t>
  </si>
  <si>
    <t>professional cabinet installation bay area</t>
  </si>
  <si>
    <t>cabinet doors style</t>
  </si>
  <si>
    <t>cabinet installation services san francisco</t>
  </si>
  <si>
    <t>cabinet manufacturing summits</t>
  </si>
  <si>
    <t>different types of kitchen cabinet doors</t>
  </si>
  <si>
    <t>american built cabinets trade shows</t>
  </si>
  <si>
    <t>cabinet design consultation bay area</t>
  </si>
  <si>
    <t>cabinet designs kitchen</t>
  </si>
  <si>
    <t>design consultation cabinets san jose</t>
  </si>
  <si>
    <t>kitchen door styles for cabinets</t>
  </si>
  <si>
    <t>custom cabinet design consultation</t>
  </si>
  <si>
    <t>quality controlled cabinet manufacturing</t>
  </si>
  <si>
    <t>bathroom cabinet door styles</t>
  </si>
  <si>
    <t>custom kitchen cabinets bay area lead time</t>
  </si>
  <si>
    <t>kitchen cabinet door profiles</t>
  </si>
  <si>
    <t>kitchen cabinet lead time san francisco</t>
  </si>
  <si>
    <t>custom cabinet manufacturing time san jose</t>
  </si>
  <si>
    <t>custom painted cabinet doors</t>
  </si>
  <si>
    <t>modern shaker cabinets bay area</t>
  </si>
  <si>
    <t>functional shaker cabinets san jose</t>
  </si>
  <si>
    <t>shaker cabinet style san francisco</t>
  </si>
  <si>
    <t>latest kitchen cabinet design</t>
  </si>
  <si>
    <t>contemporary shaker cabinetry</t>
  </si>
  <si>
    <t>cabinet doors custom size</t>
  </si>
  <si>
    <t>american built cabinets san jose</t>
  </si>
  <si>
    <t>local cabinet production california</t>
  </si>
  <si>
    <t>types of cabinet door</t>
  </si>
  <si>
    <t>modern dining room cabinets bay area</t>
  </si>
  <si>
    <t>cabinet designing</t>
  </si>
  <si>
    <t>dining room cabinetry san francisco</t>
  </si>
  <si>
    <t>different styles of kitchen cabinet doors</t>
  </si>
  <si>
    <t>stylish dining room cabinetry</t>
  </si>
  <si>
    <t>custom order cabinet doors</t>
  </si>
  <si>
    <t>american built cabinets veev project</t>
  </si>
  <si>
    <t>kitchen cabinet ideas bay area</t>
  </si>
  <si>
    <t>staining wood cabinets</t>
  </si>
  <si>
    <t>cabinet design inspiration san mateo</t>
  </si>
  <si>
    <t>stain kitchen cabinets</t>
  </si>
  <si>
    <t>kitchen cabinet styles bay area</t>
  </si>
  <si>
    <t>cabinet stain colors</t>
  </si>
  <si>
    <t>green kitchen cabinets bay area</t>
  </si>
  <si>
    <t>sustainable cabinetry san jose</t>
  </si>
  <si>
    <t>future kitchen design bay area</t>
  </si>
  <si>
    <t>kitchen cabinet trends 2026</t>
  </si>
  <si>
    <t>lifetime cabinet warranty</t>
  </si>
  <si>
    <t>cabinet stains</t>
  </si>
  <si>
    <t>cabinet finishes explained</t>
  </si>
  <si>
    <t>lacquer cabinet finish bay area</t>
  </si>
  <si>
    <t>kitchen cabinet stain colors</t>
  </si>
  <si>
    <t>paint or stain cabinets</t>
  </si>
  <si>
    <t>cabinet paint vs stain</t>
  </si>
  <si>
    <t>best finish for kitchen cabinets</t>
  </si>
  <si>
    <t>ferguson home showroom cabinetry</t>
  </si>
  <si>
    <t>cabinet pricing for builders</t>
  </si>
  <si>
    <t>cabinet finish</t>
  </si>
  <si>
    <t>architect cabinet program</t>
  </si>
  <si>
    <t>engineering driven cabinet design</t>
  </si>
  <si>
    <t>cabinets stain colors</t>
  </si>
  <si>
    <t>modern kitchen design san jose</t>
  </si>
  <si>
    <t>kitchen design guide san jose</t>
  </si>
  <si>
    <t>cabinet construction methods</t>
  </si>
  <si>
    <t>cabinet glaze colors</t>
  </si>
  <si>
    <t>american built cabinets portfolio</t>
  </si>
  <si>
    <t>veev model x cabinetry</t>
  </si>
  <si>
    <t>cabinet varnish</t>
  </si>
  <si>
    <t>american built cabinets healthcare</t>
  </si>
  <si>
    <t>american built cabinets warranty</t>
  </si>
  <si>
    <t>what finish for kitchen cabinet paint</t>
  </si>
  <si>
    <t>stain for cabinets</t>
  </si>
  <si>
    <t>solid wood cabinet pros cons</t>
  </si>
  <si>
    <t>paint or stain kitchen cabinets</t>
  </si>
  <si>
    <t>builder cabinet resources</t>
  </si>
  <si>
    <t>finish on cabinets</t>
  </si>
  <si>
    <t>innovative kitchen solutions san francisco</t>
  </si>
  <si>
    <t>pet cabinet doors bay area</t>
  </si>
  <si>
    <t>wood stain cabinets</t>
  </si>
  <si>
    <t>modern kitchen cabinets san mateo</t>
  </si>
  <si>
    <t>best stain for cabinets</t>
  </si>
  <si>
    <t>cabinet fronts</t>
  </si>
  <si>
    <t>Out of reach (KD 46, no local modifier)</t>
  </si>
  <si>
    <t>stain colors for kitchen cabinets</t>
  </si>
  <si>
    <t>cabinet door manufacturers</t>
  </si>
  <si>
    <t>kitchen cabinets sets</t>
  </si>
  <si>
    <t>best finish for cabinets</t>
  </si>
  <si>
    <t>custom made kitchen cabinets</t>
  </si>
  <si>
    <t>stain for wood cabinets</t>
  </si>
  <si>
    <t>Out of reach (KD 47, no local modifier)</t>
  </si>
  <si>
    <t>cabinets kitchen ideas</t>
  </si>
  <si>
    <t>kitchen cabinet planning</t>
  </si>
  <si>
    <t>kitchen cabinet stain</t>
  </si>
  <si>
    <t>cabinet fronts and doors</t>
  </si>
  <si>
    <t>painted versus stained kitchen cabinets</t>
  </si>
  <si>
    <t>design your kitchen cabinets</t>
  </si>
  <si>
    <t>what finish for cabinet paint</t>
  </si>
  <si>
    <t>kitchen cabinet colors</t>
  </si>
  <si>
    <t>Out of reach (KD 48, no local modifier)</t>
  </si>
  <si>
    <t>customize kitchen cabinets</t>
  </si>
  <si>
    <t>stain colors for wood cabinets</t>
  </si>
  <si>
    <t>cabinet ideas</t>
  </si>
  <si>
    <t>stain cabinet</t>
  </si>
  <si>
    <t>kitchen cabinets set</t>
  </si>
  <si>
    <t>kitchen counter cabinets</t>
  </si>
  <si>
    <t>wood stain colors for kitchen cabinets</t>
  </si>
  <si>
    <t>custom cabinet fronts</t>
  </si>
  <si>
    <t>paint vs stained cabinets</t>
  </si>
  <si>
    <t>office cabinet manufacturers</t>
  </si>
  <si>
    <t>cabinets door</t>
  </si>
  <si>
    <t>stain versus paint cabinets</t>
  </si>
  <si>
    <t>Out of reach (KD 49, no local modifier)</t>
  </si>
  <si>
    <t>commercial cabinet shop</t>
  </si>
  <si>
    <t>stain for kitchen cabinets</t>
  </si>
  <si>
    <t>ideas for kitchen cabinets</t>
  </si>
  <si>
    <t>Out of reach (KD 51, no local modifier)</t>
  </si>
  <si>
    <t>install cabinets kitchen</t>
  </si>
  <si>
    <t>best kitchen cabinet finishes</t>
  </si>
  <si>
    <t>Out of reach (KD 52, no local modifier)</t>
  </si>
  <si>
    <t>modern cabinet kitchen</t>
  </si>
  <si>
    <t>colored stain for cabinets</t>
  </si>
  <si>
    <t>cabinets for kitchens</t>
  </si>
  <si>
    <t>what finish for kitchen cabinets</t>
  </si>
  <si>
    <t>made in america cabinets</t>
  </si>
  <si>
    <t>kitchen top cabinets</t>
  </si>
  <si>
    <t>kitchen cabinet wood stain</t>
  </si>
  <si>
    <t>Out of reach (KD 55, no local modifier)</t>
  </si>
  <si>
    <t>kitchen cabinets custom</t>
  </si>
  <si>
    <t>wood stain colors cabinets</t>
  </si>
  <si>
    <t>Out of reach (KD 56, no local modifier)</t>
  </si>
  <si>
    <t>cabinet services</t>
  </si>
  <si>
    <t>kitchen cabinets and shelves</t>
  </si>
  <si>
    <t>stain colors for cabinets</t>
  </si>
  <si>
    <t>cabinetry contractor</t>
  </si>
  <si>
    <t>kitchen cabinet finishing</t>
  </si>
  <si>
    <t>custom kitchen cabinet</t>
  </si>
  <si>
    <t>Out of reach (KD 57, no local modifier)</t>
  </si>
  <si>
    <t>cabinets for the kitchen</t>
  </si>
  <si>
    <t>staining cabinet</t>
  </si>
  <si>
    <t>custom wood cabinetry</t>
  </si>
  <si>
    <t>Out of reach (KD 59, no local modifier)</t>
  </si>
  <si>
    <t>kitchen cabinets finishes</t>
  </si>
  <si>
    <t>cabinets kitchen</t>
  </si>
  <si>
    <t>Out of reach (KD 60, no local modifier)</t>
  </si>
  <si>
    <t>cabinets custom cabinets</t>
  </si>
  <si>
    <t>cabinet supply</t>
  </si>
  <si>
    <t>wood cabinet stain color chart</t>
  </si>
  <si>
    <t>Out of reach (KD 61, no local modifier)</t>
  </si>
  <si>
    <t>cabinet suppliers</t>
  </si>
  <si>
    <t>Out of reach (KD 62, no local modifier)</t>
  </si>
  <si>
    <t>wood stain kitchen cabinets</t>
  </si>
  <si>
    <t>semi custom cabinet manufacturers</t>
  </si>
  <si>
    <t>Out of reach (KD 63, no local modifier)</t>
  </si>
  <si>
    <t>custom kitchen cabinet manufacturers</t>
  </si>
  <si>
    <t>custom cabinet finishes</t>
  </si>
  <si>
    <t>Out of reach (KD 64, no local modifier)</t>
  </si>
  <si>
    <t>custom cabinetry company</t>
  </si>
  <si>
    <t>painted and stained cabinets together</t>
  </si>
  <si>
    <t>Out of reach (KD 65, no local modifier)</t>
  </si>
  <si>
    <t>wood cabinet manufacturers</t>
  </si>
  <si>
    <t>cabinet paint stain</t>
  </si>
  <si>
    <t>Out of reach (KD 66, no local modifier)</t>
  </si>
  <si>
    <t>local cabinet company</t>
  </si>
  <si>
    <t>finish for cabinets</t>
  </si>
  <si>
    <t>custom cabinets manufacturers</t>
  </si>
  <si>
    <t>custom kitchen cabinetry</t>
  </si>
  <si>
    <t>kitchen cabinet paint finishes</t>
  </si>
  <si>
    <t>Out of reach (KD 67, no local modifier)</t>
  </si>
  <si>
    <t>custom cabinet company</t>
  </si>
  <si>
    <t>Out of reach (KD 69, no local modifier)</t>
  </si>
  <si>
    <t>cabinet wood finishes</t>
  </si>
  <si>
    <t>kitchen cabinetry manufacturers</t>
  </si>
  <si>
    <t>cabinetry manufacturing</t>
  </si>
  <si>
    <t>cabinet wood stain colors</t>
  </si>
  <si>
    <t>Out of reach (KD 70, no local modifier)</t>
  </si>
  <si>
    <t>cabinet manufacturing</t>
  </si>
  <si>
    <t>Out of reach (KD 73, no local modifier)</t>
  </si>
  <si>
    <t>cabinet door finishes</t>
  </si>
  <si>
    <t>cabinet manufacturers</t>
  </si>
  <si>
    <t>Out of reach (KD 75, no local modifier)</t>
  </si>
  <si>
    <t>assembled cabinets</t>
  </si>
  <si>
    <t>custom cabinet stains</t>
  </si>
  <si>
    <t>RTA / stock product - wrong category</t>
  </si>
  <si>
    <t>made to order cabinets</t>
  </si>
  <si>
    <t>cabinet finishes paint</t>
  </si>
  <si>
    <t>rta cabinets los angeles</t>
  </si>
  <si>
    <t>pre made custom cabinets</t>
  </si>
  <si>
    <t>painted cabinets vs stained</t>
  </si>
  <si>
    <t>pre painted cabinets</t>
  </si>
  <si>
    <t>cabinets made to measure</t>
  </si>
  <si>
    <t>kitchen cabinet installation</t>
  </si>
  <si>
    <t>modern rta cabinets bay area</t>
  </si>
  <si>
    <t>kitchen remodel</t>
  </si>
  <si>
    <t>cabinet installer</t>
  </si>
  <si>
    <t>Remodeling contractor - wrong service</t>
  </si>
  <si>
    <t>kitchen remodeling</t>
  </si>
  <si>
    <t>cabinet installers</t>
  </si>
  <si>
    <t>kitchen backsplash ideas</t>
  </si>
  <si>
    <t>kitchen ideas</t>
  </si>
  <si>
    <t>installation of cabinets</t>
  </si>
  <si>
    <t>kitchen renovation</t>
  </si>
  <si>
    <t>installation cabinets</t>
  </si>
  <si>
    <t>kitchen remodel near me</t>
  </si>
  <si>
    <t>kitchen remodel ideas</t>
  </si>
  <si>
    <t>kitchen design ideas</t>
  </si>
  <si>
    <t>custom cabinet installation</t>
  </si>
  <si>
    <t>kitchen colors ideas</t>
  </si>
  <si>
    <t>paint colors for kitchen</t>
  </si>
  <si>
    <t>cabinet hardware installers</t>
  </si>
  <si>
    <t>color schemes for kitchens</t>
  </si>
  <si>
    <t>kitchen color</t>
  </si>
  <si>
    <t>custom cabinetry installation</t>
  </si>
  <si>
    <t>kitchen remodeling san jose ca</t>
  </si>
  <si>
    <t>installing new cabinets</t>
  </si>
  <si>
    <t>kitchen renovation san jose</t>
  </si>
  <si>
    <t>kitchen remodel san jose ca</t>
  </si>
  <si>
    <t>cabinet installation company</t>
  </si>
  <si>
    <t>kitchen color scheme</t>
  </si>
  <si>
    <t>kitchen remodel bay area</t>
  </si>
  <si>
    <t>cabinets install</t>
  </si>
  <si>
    <t>color combinations for kitchens</t>
  </si>
  <si>
    <t>kitchen color scheme ideas</t>
  </si>
  <si>
    <t>bay area cabinetmaker</t>
  </si>
  <si>
    <t>modern kitchen paint colors</t>
  </si>
  <si>
    <t>kitchen remodel san francisco bay area</t>
  </si>
  <si>
    <t>bay area cabinets</t>
  </si>
  <si>
    <t>paint colors kitchen</t>
  </si>
  <si>
    <t>kitchen remodeling in bay area</t>
  </si>
  <si>
    <t>kitchen designer bay area</t>
  </si>
  <si>
    <t>kitchen color idea</t>
  </si>
  <si>
    <t>oakland ca cabinets</t>
  </si>
  <si>
    <t>paint combinations for kitchens</t>
  </si>
  <si>
    <t>cabinets kitchen colors</t>
  </si>
  <si>
    <t>bathroom cabinets san francisco</t>
  </si>
  <si>
    <t>kitchen remodel in san jose</t>
  </si>
  <si>
    <t>kitchen cabinets san francisco ca</t>
  </si>
  <si>
    <t>color schemes for kitchen</t>
  </si>
  <si>
    <t>kitchen colors modern</t>
  </si>
  <si>
    <t>cabinets san francisco bay area</t>
  </si>
  <si>
    <t>kitchen remodeling companies san francisco</t>
  </si>
  <si>
    <t>cabinets california</t>
  </si>
  <si>
    <t>kitchen colors schemes</t>
  </si>
  <si>
    <t>kitchen remodel in san francisco</t>
  </si>
  <si>
    <t>san francisco kitchens</t>
  </si>
  <si>
    <t>kitchen remodeling south san francisco</t>
  </si>
  <si>
    <t>kitchen design san francisco</t>
  </si>
  <si>
    <t>kitchen remodel san mateo ca</t>
  </si>
  <si>
    <t>kitchens colors</t>
  </si>
  <si>
    <t>kitchen cabinets san francisco bay area</t>
  </si>
  <si>
    <t>kitchen remodeling in san francisco</t>
  </si>
  <si>
    <t>kitchen and dining room color ideas</t>
  </si>
  <si>
    <t>custom cabinets san francisco ca</t>
  </si>
  <si>
    <t>color palettes for kitchens</t>
  </si>
  <si>
    <t>color schemes kitchen</t>
  </si>
  <si>
    <t>bay area kitchen cabinets</t>
  </si>
  <si>
    <t>color combinations for kitchen walls and cabinets</t>
  </si>
  <si>
    <t>cabinet store san francisco</t>
  </si>
  <si>
    <t>kitchen renovation tips san jose</t>
  </si>
  <si>
    <t>cabinet installation near me</t>
  </si>
  <si>
    <t>Retail / e-commerce intent</t>
  </si>
  <si>
    <t>kitchen designer san jose</t>
  </si>
  <si>
    <t>custom cabinets online</t>
  </si>
  <si>
    <t>cabinets for kitchen near me</t>
  </si>
  <si>
    <t>custom kitchen cabinets san jose</t>
  </si>
  <si>
    <t>buy kitchen cabinets</t>
  </si>
  <si>
    <t>cabinet installer near me</t>
  </si>
  <si>
    <t>san jose kitchen cabinets</t>
  </si>
  <si>
    <t>buy cabinets</t>
  </si>
  <si>
    <t>where can i find kitchen cabinets</t>
  </si>
  <si>
    <t>bathroom cabinets san jose ca</t>
  </si>
  <si>
    <t>cabinet manufacturer near me</t>
  </si>
  <si>
    <t>online cabinet design</t>
  </si>
  <si>
    <t>cabinet maker san jose</t>
  </si>
  <si>
    <t>kitchen cabinets installers near me</t>
  </si>
  <si>
    <t>modern kitchen cabinets for sale</t>
  </si>
  <si>
    <t>where to buy cabinets for kitchen</t>
  </si>
  <si>
    <t>cabinet contractor near me</t>
  </si>
  <si>
    <t>cabinet stores in san jose ca</t>
  </si>
  <si>
    <t>cabinet installation services near me</t>
  </si>
  <si>
    <t>buying cabinets wholesale</t>
  </si>
  <si>
    <t>cabinet shops in san jose ca</t>
  </si>
  <si>
    <t>kitchen cabinets wholesale online</t>
  </si>
  <si>
    <t>san jose kitchen and bath</t>
  </si>
  <si>
    <t>where to buy quality kitchen cabinets</t>
  </si>
  <si>
    <t>prices on kitchen cabinets</t>
  </si>
  <si>
    <t>cabinet refacing san jose</t>
  </si>
  <si>
    <t>local cabinet maker near me</t>
  </si>
  <si>
    <t>wood kitchen cabinets</t>
  </si>
  <si>
    <t>shaker cabinet doors near me</t>
  </si>
  <si>
    <t>cabinets installers near me</t>
  </si>
  <si>
    <t>wood cabinets</t>
  </si>
  <si>
    <t>where to buy kitchen cabinets online</t>
  </si>
  <si>
    <t>cabinet installer subcontractor near me</t>
  </si>
  <si>
    <t>wood cabinet doors</t>
  </si>
  <si>
    <t>where to buy modern kitchen cabinets</t>
  </si>
  <si>
    <t>cabinet makers and installers near me</t>
  </si>
  <si>
    <t>wood kitchen cabinet</t>
  </si>
  <si>
    <t>mdf vs plywood for cabinets</t>
  </si>
  <si>
    <t>cabinet materials</t>
  </si>
  <si>
    <t>wood kitchen cabinet colors</t>
  </si>
  <si>
    <t>color of wood cabinets</t>
  </si>
  <si>
    <t>best material for kitchen cabinets</t>
  </si>
  <si>
    <t>kitchen paint colors with wood cabinets</t>
  </si>
  <si>
    <t>painted wood cabinets</t>
  </si>
  <si>
    <t>cabinet joinery</t>
  </si>
  <si>
    <t>cabinet material types</t>
  </si>
  <si>
    <t>colors for wood cabinets</t>
  </si>
  <si>
    <t>cabinet making materials</t>
  </si>
  <si>
    <t>types of kitchen cabinets materials</t>
  </si>
  <si>
    <t>cabinetry materials</t>
  </si>
  <si>
    <t>kitchen cabinets materials</t>
  </si>
  <si>
    <t>types of cabinets material</t>
  </si>
  <si>
    <t>kitchen cabinet materials pros and cons</t>
  </si>
  <si>
    <t>wood cabinet fronts</t>
  </si>
  <si>
    <t>wood kitchen cabinets doors</t>
  </si>
  <si>
    <t>wood cabinet kitchen ideas</t>
  </si>
  <si>
    <t>wood cabinet color</t>
  </si>
  <si>
    <t>wood cabinet design</t>
  </si>
  <si>
    <t>what material is best for kitchen cabinets</t>
  </si>
  <si>
    <t>solid wood cabinetry</t>
  </si>
  <si>
    <t>wood cabinet paint colors</t>
  </si>
  <si>
    <t>kitchen cabinet material</t>
  </si>
  <si>
    <t>kitchen cabinet material types</t>
  </si>
  <si>
    <t>best materials for kitchen cabinets</t>
  </si>
  <si>
    <t>cabinets materials</t>
  </si>
  <si>
    <t>hard wood cabinets</t>
  </si>
  <si>
    <t>cabinets material</t>
  </si>
  <si>
    <t>cabinet hardwood</t>
  </si>
  <si>
    <t>best kitchen cabinet materials</t>
  </si>
  <si>
    <t>kitchen designs with wood cabinets</t>
  </si>
  <si>
    <t>wood cabinet ideas</t>
  </si>
  <si>
    <t>best cabinet material</t>
  </si>
  <si>
    <t>types of cabinet materials</t>
  </si>
  <si>
    <t>latest kitchen cabinet material</t>
  </si>
  <si>
    <t>materials for kitchen cabinets</t>
  </si>
  <si>
    <t>wood kitchen cabinet color ideas</t>
  </si>
  <si>
    <t>quality wood cabinets</t>
  </si>
  <si>
    <t>best cabinets for kitchen</t>
  </si>
  <si>
    <t>kitchen cabinet reviews</t>
  </si>
  <si>
    <t>high quality kitchen cabinets</t>
  </si>
  <si>
    <t>top rated kitchen cabinets</t>
  </si>
  <si>
    <t>cabinetry reviews</t>
  </si>
  <si>
    <t>best cabinets kitchen</t>
  </si>
  <si>
    <t>high quality cabinets</t>
  </si>
  <si>
    <t>reviews of kitchen cabinets</t>
  </si>
  <si>
    <t>top kitchen cabinet brands</t>
  </si>
  <si>
    <t>kitchen luxury cabinets</t>
  </si>
  <si>
    <t>high end luxury kitchen cabinets</t>
  </si>
  <si>
    <t>shaker kitchen cabinets</t>
  </si>
  <si>
    <t>shaker cabinet</t>
  </si>
  <si>
    <t>contemporary shaker cabinets</t>
  </si>
  <si>
    <t>shaker white cabinets</t>
  </si>
  <si>
    <t>white shaker style cabinets</t>
  </si>
  <si>
    <t>shaker wall cabinets</t>
  </si>
  <si>
    <t>shaker door cabinet</t>
  </si>
  <si>
    <t>shaker style cabinet</t>
  </si>
  <si>
    <t>painted shaker cabinets</t>
  </si>
  <si>
    <t>modern shaker cabinets</t>
  </si>
  <si>
    <t>what is shaker cabinetry</t>
  </si>
  <si>
    <t>shaker style door cabinets</t>
  </si>
  <si>
    <t>shaker base cabinets with drawers</t>
  </si>
  <si>
    <t>wood shaker cabinets</t>
  </si>
  <si>
    <t>custom shaker cabinet doors</t>
  </si>
  <si>
    <t>solid wood shaker cabinets</t>
  </si>
  <si>
    <t>cabinets shaker style</t>
  </si>
  <si>
    <t>shaker style cabinetry</t>
  </si>
  <si>
    <t>shaker upper cabinets</t>
  </si>
  <si>
    <t>shaker door style kitchen cabinets</t>
  </si>
  <si>
    <t>kitchen cabinet styles shaker</t>
  </si>
  <si>
    <t>shaker style cabinets doors</t>
  </si>
  <si>
    <t>contemporary shaker kitchens</t>
  </si>
  <si>
    <t>contemporary shaker kitchen</t>
  </si>
  <si>
    <t>shaker style doors cabinet</t>
  </si>
  <si>
    <t>shaker cabinets and drawers</t>
  </si>
  <si>
    <t>modern shaker cabinet</t>
  </si>
  <si>
    <t>shaker cabinetry</t>
  </si>
  <si>
    <t>shaker doors cabinets</t>
  </si>
  <si>
    <t>shaker panel cabinet doors</t>
  </si>
  <si>
    <t>contemporary shaker kitchen cabinets</t>
  </si>
  <si>
    <t>photos of shaker cabinets</t>
  </si>
  <si>
    <t>shakers cabinets</t>
  </si>
  <si>
    <t>kitchens with shaker cabinets</t>
  </si>
  <si>
    <t>what style is shaker cabinets</t>
  </si>
  <si>
    <t>shaker style door kitchen cabinet</t>
  </si>
  <si>
    <t>affordable shaker cabinets</t>
  </si>
  <si>
    <t>white shaker cabinet kitchens</t>
  </si>
  <si>
    <t>what is shaker cabinet</t>
  </si>
  <si>
    <t>shaker doors for cabinets</t>
  </si>
  <si>
    <t>kitchen with shaker cabinets</t>
  </si>
  <si>
    <t>kitchen cabinets shaker doors</t>
  </si>
  <si>
    <t>traditional shaker cabinets</t>
  </si>
  <si>
    <t>assembled shaker cabinets</t>
  </si>
  <si>
    <t>what is shaker style cabinet</t>
  </si>
  <si>
    <t>shaker cabinet front</t>
  </si>
  <si>
    <t>shaker style cabinet fronts</t>
  </si>
  <si>
    <t>shaker cabinet door fronts</t>
  </si>
  <si>
    <t>shaker oak kitchen cabinets</t>
  </si>
  <si>
    <t>shaker cabinet panel</t>
  </si>
  <si>
    <t>recessed shaker cabinets</t>
  </si>
  <si>
    <t>shaker frameless cabinets</t>
  </si>
  <si>
    <t>contractor cabinets</t>
  </si>
  <si>
    <t>multifamily cabinetry</t>
  </si>
  <si>
    <t>commercial cabinet manufacturers</t>
  </si>
  <si>
    <t>multifamily cabinets</t>
  </si>
  <si>
    <t>kitchen cabinets for builders</t>
  </si>
  <si>
    <t>cabinet industry</t>
  </si>
  <si>
    <t>builders kitchen cabinets</t>
  </si>
  <si>
    <t>coloured cabinets</t>
  </si>
  <si>
    <t>kitchen cabinet paint colors</t>
  </si>
  <si>
    <t>best kitchen cabinet colors</t>
  </si>
  <si>
    <t>colored kitchen cabinets</t>
  </si>
  <si>
    <t>colors for kitchen cabinets</t>
  </si>
  <si>
    <t>kitchen cabinet colors ideas</t>
  </si>
  <si>
    <t>great kitchen cabinet colors</t>
  </si>
  <si>
    <t>cabinet color</t>
  </si>
  <si>
    <t>modern kitchen cabinets colors</t>
  </si>
  <si>
    <t>colored cabinet ideas</t>
  </si>
  <si>
    <t>cabinet colors for kitchen</t>
  </si>
  <si>
    <t>cabinets with different color doors</t>
  </si>
  <si>
    <t>kitchen furniture colors</t>
  </si>
  <si>
    <t>kitchen cabinets color combination pictures</t>
  </si>
  <si>
    <t>kitchen cabinets color</t>
  </si>
  <si>
    <t>color ideas for kitchen cabinets</t>
  </si>
  <si>
    <t>painted cabinet colors</t>
  </si>
  <si>
    <t>latest kitchen cabinet colors</t>
  </si>
  <si>
    <t>kitchen cabinets inside color</t>
  </si>
  <si>
    <t>different color kitchen cabinets</t>
  </si>
  <si>
    <t>most popular kitchen cabinet colors</t>
  </si>
  <si>
    <t>what color cabinets are in style</t>
  </si>
  <si>
    <t>cabinet wood colors</t>
  </si>
  <si>
    <t>kitchen cabinet paint colors ideas</t>
  </si>
  <si>
    <t>color cabinet kitchen</t>
  </si>
  <si>
    <t>cabinet countertop color combinations</t>
  </si>
  <si>
    <t>cabinet door colors</t>
  </si>
  <si>
    <t>popular color for kitchen cabinets</t>
  </si>
  <si>
    <t>what is the best color for kitchen cabinets</t>
  </si>
  <si>
    <t>2026 kitchen cabinet colors</t>
  </si>
  <si>
    <t>color for kitchen cabinets</t>
  </si>
  <si>
    <t>kitchen design colors</t>
  </si>
  <si>
    <t>cabinetry colors</t>
  </si>
  <si>
    <t>cabinet coloring</t>
  </si>
  <si>
    <t>bold kitchen cabinet colors</t>
  </si>
  <si>
    <t>kitchen cabinets and paint colors</t>
  </si>
  <si>
    <t>cabinets color</t>
  </si>
  <si>
    <t>what is a good color for kitchen cabinets</t>
  </si>
  <si>
    <t>colors of paint for kitchen cabinets</t>
  </si>
  <si>
    <t>what kitchen cabinet color is in style</t>
  </si>
  <si>
    <t>colour combination for kitchen cabinets and countertops</t>
  </si>
  <si>
    <t>kitchen cabinet color combinations</t>
  </si>
  <si>
    <t>what is the most popular color for kitchen cabinets</t>
  </si>
  <si>
    <t>what are the most popular colors for kitchen cabinets</t>
  </si>
  <si>
    <t>wood color paint for cabinets</t>
  </si>
  <si>
    <t>styles of cabinets and colors for the kitchen</t>
  </si>
  <si>
    <t>popular painted cabinet colors</t>
  </si>
  <si>
    <t>kitchen cabinets colors and styles</t>
  </si>
  <si>
    <t>cabinets paint colors</t>
  </si>
  <si>
    <t>what color kitchen cabinets are in</t>
  </si>
  <si>
    <t>kitchen cabinets colors and designs</t>
  </si>
  <si>
    <t>kitchen wall and cabinet color combinations</t>
  </si>
  <si>
    <t>kitchen cabinet door colors</t>
  </si>
  <si>
    <t>kitchen with different color cabinets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</si>
</sst>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10.0"/>
      <color rgb="FF595959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  <fill>
      <patternFill patternType="solid">
        <fgColor rgb="FFFFF2CC"/>
        <bgColor rgb="FFFFF2CC"/>
      </patternFill>
    </fill>
  </fills>
  <borders count="4">
    <border/>
    <border>
      <left/>
      <right/>
      <top/>
      <bottom/>
    </border>
    <border>
      <bottom style="thin">
        <color rgb="FFD9D9D9"/>
      </bottom>
    </border>
    <border>
      <left/>
      <right/>
      <top/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0" fontId="6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top" wrapText="1"/>
    </xf>
    <xf borderId="1" fillId="4" fontId="4" numFmtId="0" xfId="0" applyAlignment="1" applyBorder="1" applyFill="1" applyFont="1">
      <alignment shrinkToFit="0" vertical="bottom" wrapText="0"/>
    </xf>
    <xf borderId="3" fillId="5" fontId="4" numFmtId="0" xfId="0" applyAlignment="1" applyBorder="1" applyFill="1" applyFont="1">
      <alignment shrinkToFit="0" vertical="bottom" wrapText="0"/>
    </xf>
    <xf borderId="3" fillId="5" fontId="6" numFmtId="0" xfId="0" applyAlignment="1" applyBorder="1" applyFont="1">
      <alignment shrinkToFit="0" vertical="bottom" wrapText="0"/>
    </xf>
    <xf borderId="3" fillId="5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4" t="s">
        <v>4</v>
      </c>
    </row>
    <row r="7">
      <c r="A7" s="4" t="s">
        <v>6</v>
      </c>
    </row>
    <row r="8">
      <c r="A8" s="4" t="s">
        <v>8</v>
      </c>
    </row>
    <row r="9">
      <c r="A9" s="4" t="s">
        <v>10</v>
      </c>
    </row>
    <row r="11">
      <c r="A11" s="3" t="s">
        <v>11</v>
      </c>
    </row>
    <row r="12">
      <c r="A12" s="4" t="s">
        <v>14</v>
      </c>
    </row>
    <row r="13">
      <c r="A13" s="4" t="s">
        <v>15</v>
      </c>
    </row>
    <row r="14">
      <c r="A14" s="4" t="s">
        <v>16</v>
      </c>
    </row>
    <row r="15">
      <c r="A15" s="4" t="s">
        <v>18</v>
      </c>
    </row>
    <row r="16">
      <c r="A16" s="4" t="s">
        <v>20</v>
      </c>
    </row>
    <row r="17">
      <c r="A17" s="4" t="s">
        <v>21</v>
      </c>
    </row>
    <row r="19">
      <c r="A19" s="3" t="s">
        <v>22</v>
      </c>
    </row>
    <row r="20">
      <c r="A20" s="4" t="s">
        <v>24</v>
      </c>
    </row>
    <row r="21" ht="15.75" customHeight="1">
      <c r="A21" s="4" t="s">
        <v>27</v>
      </c>
    </row>
    <row r="22" ht="15.75" customHeight="1">
      <c r="A22" s="4" t="s">
        <v>30</v>
      </c>
    </row>
    <row r="23" ht="15.75" customHeight="1">
      <c r="A23" s="4" t="s">
        <v>31</v>
      </c>
    </row>
    <row r="24" ht="15.75" customHeight="1">
      <c r="A24" s="4" t="s">
        <v>33</v>
      </c>
    </row>
    <row r="25" ht="15.75" customHeight="1"/>
    <row r="26" ht="15.75" customHeight="1">
      <c r="A26" s="3" t="s">
        <v>35</v>
      </c>
    </row>
    <row r="27" ht="15.75" customHeight="1">
      <c r="A27" s="4" t="s">
        <v>36</v>
      </c>
    </row>
    <row r="28" ht="15.75" customHeight="1">
      <c r="A28" s="4" t="s">
        <v>40</v>
      </c>
    </row>
    <row r="29" ht="15.75" customHeight="1">
      <c r="A29" s="4" t="s">
        <v>41</v>
      </c>
    </row>
    <row r="30" ht="15.75" customHeight="1">
      <c r="A30" s="4" t="s">
        <v>44</v>
      </c>
    </row>
    <row r="31" ht="15.75" customHeight="1">
      <c r="A31" s="4" t="s">
        <v>47</v>
      </c>
    </row>
    <row r="32" ht="15.75" customHeight="1">
      <c r="A32" s="4" t="s">
        <v>49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42.0"/>
    <col customWidth="1" min="3" max="4" width="12.0"/>
    <col customWidth="1" min="5" max="6" width="10.0"/>
    <col customWidth="1" min="7" max="7" width="14.0"/>
    <col customWidth="1" min="8" max="8" width="40.0"/>
    <col customWidth="1" min="9" max="26" width="8.71"/>
  </cols>
  <sheetData>
    <row r="1">
      <c r="A1" s="1" t="s">
        <v>7</v>
      </c>
    </row>
    <row r="2">
      <c r="A2" s="2" t="s">
        <v>12</v>
      </c>
    </row>
    <row r="4" ht="27.75" customHeight="1">
      <c r="A4" s="5" t="s">
        <v>5</v>
      </c>
      <c r="B4" s="5" t="s">
        <v>17</v>
      </c>
      <c r="C4" s="5" t="s">
        <v>26</v>
      </c>
      <c r="D4" s="5" t="s">
        <v>29</v>
      </c>
      <c r="E4" s="5" t="s">
        <v>38</v>
      </c>
      <c r="F4" s="5" t="s">
        <v>43</v>
      </c>
      <c r="G4" s="5" t="s">
        <v>48</v>
      </c>
      <c r="H4" s="5" t="s">
        <v>50</v>
      </c>
    </row>
    <row r="5">
      <c r="A5" s="7" t="s">
        <v>51</v>
      </c>
      <c r="B5" s="7" t="s">
        <v>54</v>
      </c>
      <c r="C5" s="7">
        <f>COUNTIF('Priority Map'!$A:$A,$A5)</f>
        <v>65</v>
      </c>
      <c r="D5" s="7">
        <f>SUMIF('Priority Map'!$A:$A,$A5,'Priority Map'!$D:$D)</f>
        <v>27820</v>
      </c>
      <c r="E5" s="7">
        <v>23.0</v>
      </c>
      <c r="F5" s="10"/>
      <c r="G5" s="7" t="s">
        <v>69</v>
      </c>
      <c r="H5" s="11" t="s">
        <v>72</v>
      </c>
    </row>
    <row r="6">
      <c r="A6" s="7" t="s">
        <v>74</v>
      </c>
      <c r="B6" s="7" t="s">
        <v>77</v>
      </c>
      <c r="C6" s="7">
        <f>COUNTIF('Priority Map'!$A:$A,$A6)</f>
        <v>54</v>
      </c>
      <c r="D6" s="7">
        <f>SUMIF('Priority Map'!$A:$A,$A6,'Priority Map'!$D:$D)</f>
        <v>22850</v>
      </c>
      <c r="E6" s="7">
        <v>24.0</v>
      </c>
      <c r="F6" s="10"/>
      <c r="G6" s="7" t="s">
        <v>69</v>
      </c>
      <c r="H6" s="11" t="s">
        <v>94</v>
      </c>
    </row>
    <row r="7">
      <c r="A7" s="7" t="s">
        <v>97</v>
      </c>
      <c r="B7" s="7" t="s">
        <v>98</v>
      </c>
      <c r="C7" s="7">
        <f>COUNTIF('Priority Map'!$A:$A,$A7)</f>
        <v>44</v>
      </c>
      <c r="D7" s="7">
        <f>SUMIF('Priority Map'!$A:$A,$A7,'Priority Map'!$D:$D)</f>
        <v>18770</v>
      </c>
      <c r="E7" s="7">
        <v>19.5</v>
      </c>
      <c r="F7" s="10"/>
      <c r="G7" s="7" t="s">
        <v>69</v>
      </c>
      <c r="H7" s="11" t="s">
        <v>107</v>
      </c>
    </row>
    <row r="8">
      <c r="A8" s="7" t="s">
        <v>108</v>
      </c>
      <c r="B8" s="7" t="s">
        <v>110</v>
      </c>
      <c r="C8" s="7">
        <f>COUNTIF('Priority Map'!$A:$A,$A8)</f>
        <v>52</v>
      </c>
      <c r="D8" s="7">
        <f>SUMIF('Priority Map'!$A:$A,$A8,'Priority Map'!$D:$D)</f>
        <v>17390</v>
      </c>
      <c r="E8" s="7">
        <v>17.0</v>
      </c>
      <c r="F8" s="10"/>
      <c r="G8" s="7" t="s">
        <v>69</v>
      </c>
      <c r="H8" s="11" t="s">
        <v>115</v>
      </c>
    </row>
    <row r="9">
      <c r="A9" s="7" t="s">
        <v>116</v>
      </c>
      <c r="B9" s="7" t="s">
        <v>118</v>
      </c>
      <c r="C9" s="7">
        <f>COUNTIF('Priority Map'!$A:$A,$A9)</f>
        <v>25</v>
      </c>
      <c r="D9" s="7">
        <f>SUMIF('Priority Map'!$A:$A,$A9,'Priority Map'!$D:$D)</f>
        <v>11180</v>
      </c>
      <c r="E9" s="7">
        <v>20.0</v>
      </c>
      <c r="F9" s="10"/>
      <c r="G9" s="7" t="s">
        <v>69</v>
      </c>
      <c r="H9" s="11" t="s">
        <v>121</v>
      </c>
    </row>
    <row r="10">
      <c r="A10" s="7" t="s">
        <v>122</v>
      </c>
      <c r="B10" s="7" t="s">
        <v>123</v>
      </c>
      <c r="C10" s="7">
        <f>COUNTIF('Priority Map'!$A:$A,$A10)</f>
        <v>51</v>
      </c>
      <c r="D10" s="7">
        <f>SUMIF('Priority Map'!$A:$A,$A10,'Priority Map'!$D:$D)</f>
        <v>8210</v>
      </c>
      <c r="E10" s="7">
        <v>15.0</v>
      </c>
      <c r="F10" s="10"/>
      <c r="G10" s="7" t="s">
        <v>69</v>
      </c>
      <c r="H10" s="11" t="s">
        <v>130</v>
      </c>
    </row>
    <row r="11">
      <c r="A11" s="7" t="s">
        <v>131</v>
      </c>
      <c r="B11" s="7" t="s">
        <v>81</v>
      </c>
      <c r="C11" s="7">
        <f>COUNTIF('Priority Map'!$A:$A,$A11)</f>
        <v>11</v>
      </c>
      <c r="D11" s="7">
        <f>SUMIF('Priority Map'!$A:$A,$A11,'Priority Map'!$D:$D)</f>
        <v>5690</v>
      </c>
      <c r="E11" s="7">
        <v>28.0</v>
      </c>
      <c r="F11" s="10"/>
      <c r="G11" s="7" t="s">
        <v>69</v>
      </c>
      <c r="H11" s="11" t="s">
        <v>138</v>
      </c>
    </row>
    <row r="12">
      <c r="A12" s="7" t="s">
        <v>139</v>
      </c>
      <c r="B12" s="7" t="s">
        <v>142</v>
      </c>
      <c r="C12" s="7">
        <f>COUNTIF('Priority Map'!$A:$A,$A12)</f>
        <v>14</v>
      </c>
      <c r="D12" s="7">
        <f>SUMIF('Priority Map'!$A:$A,$A12,'Priority Map'!$D:$D)</f>
        <v>5290</v>
      </c>
      <c r="E12" s="7">
        <v>32.5</v>
      </c>
      <c r="F12" s="10"/>
      <c r="G12" s="7" t="s">
        <v>69</v>
      </c>
      <c r="H12" s="11" t="s">
        <v>147</v>
      </c>
    </row>
    <row r="13">
      <c r="A13" s="7" t="s">
        <v>109</v>
      </c>
      <c r="B13" s="7" t="s">
        <v>111</v>
      </c>
      <c r="C13" s="7">
        <f>COUNTIF('Priority Map'!$A:$A,$A13)</f>
        <v>15</v>
      </c>
      <c r="D13" s="7">
        <f>SUMIF('Priority Map'!$A:$A,$A13,'Priority Map'!$D:$D)</f>
        <v>3390</v>
      </c>
      <c r="E13" s="7">
        <v>36.0</v>
      </c>
      <c r="F13" s="10"/>
      <c r="G13" s="7" t="s">
        <v>69</v>
      </c>
      <c r="H13" s="11" t="s">
        <v>154</v>
      </c>
    </row>
    <row r="14">
      <c r="A14" s="7" t="s">
        <v>155</v>
      </c>
      <c r="B14" s="7" t="s">
        <v>111</v>
      </c>
      <c r="C14" s="7">
        <f>COUNTIF('Priority Map'!$A:$A,$A14)</f>
        <v>14</v>
      </c>
      <c r="D14" s="7">
        <f>SUMIF('Priority Map'!$A:$A,$A14,'Priority Map'!$D:$D)</f>
        <v>2550</v>
      </c>
      <c r="E14" s="7">
        <v>18.0</v>
      </c>
      <c r="F14" s="10"/>
      <c r="G14" s="7" t="s">
        <v>69</v>
      </c>
      <c r="H14" s="11" t="s">
        <v>154</v>
      </c>
    </row>
    <row r="15">
      <c r="A15" s="7" t="s">
        <v>164</v>
      </c>
      <c r="B15" s="7" t="s">
        <v>165</v>
      </c>
      <c r="C15" s="7">
        <f>COUNTIF('Priority Map'!$A:$A,$A15)</f>
        <v>11</v>
      </c>
      <c r="D15" s="7">
        <f>SUMIF('Priority Map'!$A:$A,$A15,'Priority Map'!$D:$D)</f>
        <v>2210</v>
      </c>
      <c r="E15" s="7">
        <v>13.0</v>
      </c>
      <c r="F15" s="10"/>
      <c r="G15" s="7" t="s">
        <v>69</v>
      </c>
      <c r="H15" s="11" t="s">
        <v>175</v>
      </c>
    </row>
    <row r="16">
      <c r="A16" s="13" t="s">
        <v>42</v>
      </c>
      <c r="B16" s="13" t="s">
        <v>45</v>
      </c>
      <c r="C16" s="13">
        <f>COUNTIF('Priority Map'!$A:$A,$A16)</f>
        <v>5</v>
      </c>
      <c r="D16" s="13">
        <f>SUMIF('Priority Map'!$A:$A,$A16,'Priority Map'!$D:$D)</f>
        <v>1510</v>
      </c>
      <c r="E16" s="13">
        <v>8.0</v>
      </c>
      <c r="F16" s="14"/>
      <c r="G16" s="13" t="s">
        <v>190</v>
      </c>
      <c r="H16" s="15" t="s">
        <v>193</v>
      </c>
    </row>
    <row r="17">
      <c r="A17" s="13" t="s">
        <v>89</v>
      </c>
      <c r="B17" s="13" t="s">
        <v>91</v>
      </c>
      <c r="C17" s="13">
        <f>COUNTIF('Priority Map'!$A:$A,$A17)</f>
        <v>4</v>
      </c>
      <c r="D17" s="13">
        <f>SUMIF('Priority Map'!$A:$A,$A17,'Priority Map'!$D:$D)</f>
        <v>1120</v>
      </c>
      <c r="E17" s="13">
        <v>25.5</v>
      </c>
      <c r="F17" s="14"/>
      <c r="G17" s="13" t="s">
        <v>190</v>
      </c>
      <c r="H17" s="15" t="s">
        <v>214</v>
      </c>
    </row>
    <row r="18">
      <c r="A18" s="7" t="s">
        <v>215</v>
      </c>
      <c r="B18" s="7" t="s">
        <v>100</v>
      </c>
      <c r="C18" s="7">
        <f>COUNTIF('Priority Map'!$A:$A,$A18)</f>
        <v>7</v>
      </c>
      <c r="D18" s="7">
        <f>SUMIF('Priority Map'!$A:$A,$A18,'Priority Map'!$D:$D)</f>
        <v>820</v>
      </c>
      <c r="E18" s="7">
        <v>23.0</v>
      </c>
      <c r="F18" s="10"/>
      <c r="G18" s="7" t="s">
        <v>69</v>
      </c>
      <c r="H18" s="11" t="s">
        <v>230</v>
      </c>
    </row>
    <row r="19">
      <c r="A19" s="7" t="s">
        <v>232</v>
      </c>
      <c r="B19" s="7" t="s">
        <v>61</v>
      </c>
      <c r="C19" s="7">
        <f>COUNTIF('Priority Map'!$A:$A,$A19)</f>
        <v>11</v>
      </c>
      <c r="D19" s="7">
        <f>SUMIF('Priority Map'!$A:$A,$A19,'Priority Map'!$D:$D)</f>
        <v>560</v>
      </c>
      <c r="E19" s="7">
        <v>23.0</v>
      </c>
      <c r="F19" s="10"/>
      <c r="G19" s="7" t="s">
        <v>69</v>
      </c>
      <c r="H19" s="11" t="s">
        <v>244</v>
      </c>
    </row>
    <row r="21" ht="15.75" customHeight="1">
      <c r="B21" s="3" t="s">
        <v>247</v>
      </c>
      <c r="C21" s="3">
        <f t="shared" ref="C21:D21" si="1">SUM(C5:C19)</f>
        <v>383</v>
      </c>
      <c r="D21" s="3">
        <f t="shared" si="1"/>
        <v>129360</v>
      </c>
    </row>
    <row r="22" ht="15.75" customHeight="1"/>
    <row r="23" ht="15.75" customHeight="1">
      <c r="A23" s="2" t="s">
        <v>253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3:H2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2.0"/>
    <col customWidth="1" min="3" max="3" width="46.0"/>
    <col customWidth="1" min="4" max="4" width="9.0"/>
    <col customWidth="1" min="5" max="5" width="8.0"/>
    <col customWidth="1" min="6" max="6" width="9.0"/>
    <col customWidth="1" min="7" max="7" width="26.0"/>
    <col customWidth="1" min="8" max="8" width="14.0"/>
    <col customWidth="1" min="9" max="26" width="8.71"/>
  </cols>
  <sheetData>
    <row r="1" ht="27.75" customHeight="1">
      <c r="A1" s="5" t="s">
        <v>5</v>
      </c>
      <c r="B1" s="5" t="s">
        <v>17</v>
      </c>
      <c r="C1" s="5" t="s">
        <v>19</v>
      </c>
      <c r="D1" s="5" t="s">
        <v>23</v>
      </c>
      <c r="E1" s="5" t="s">
        <v>25</v>
      </c>
      <c r="F1" s="5" t="s">
        <v>32</v>
      </c>
      <c r="G1" s="5" t="s">
        <v>28</v>
      </c>
      <c r="H1" s="5" t="s">
        <v>37</v>
      </c>
    </row>
    <row r="2">
      <c r="A2" s="4" t="s">
        <v>42</v>
      </c>
      <c r="B2" s="4" t="s">
        <v>45</v>
      </c>
      <c r="C2" s="4" t="s">
        <v>46</v>
      </c>
      <c r="D2" s="4">
        <v>1000.0</v>
      </c>
      <c r="E2" s="4">
        <v>19.0</v>
      </c>
      <c r="F2" s="4">
        <f t="shared" ref="F2:F384" si="1">IF(E2&lt;=1,"",ROUND(D2/POWER(E2,0.9),1))</f>
        <v>70.7</v>
      </c>
      <c r="G2" s="4" t="s">
        <v>52</v>
      </c>
      <c r="H2" s="4"/>
    </row>
    <row r="3">
      <c r="A3" s="4" t="s">
        <v>42</v>
      </c>
      <c r="B3" s="4" t="s">
        <v>45</v>
      </c>
      <c r="C3" s="4" t="s">
        <v>64</v>
      </c>
      <c r="D3" s="4">
        <v>320.0</v>
      </c>
      <c r="E3" s="6">
        <v>8.0</v>
      </c>
      <c r="F3" s="4">
        <f t="shared" si="1"/>
        <v>49.2</v>
      </c>
      <c r="G3" s="4" t="s">
        <v>52</v>
      </c>
      <c r="H3" s="4"/>
    </row>
    <row r="4">
      <c r="A4" s="4" t="s">
        <v>42</v>
      </c>
      <c r="B4" s="4" t="s">
        <v>45</v>
      </c>
      <c r="C4" s="4" t="s">
        <v>70</v>
      </c>
      <c r="D4" s="4">
        <v>110.0</v>
      </c>
      <c r="E4" s="4">
        <v>3.0</v>
      </c>
      <c r="F4" s="4">
        <f t="shared" si="1"/>
        <v>40.9</v>
      </c>
      <c r="G4" s="4" t="s">
        <v>52</v>
      </c>
      <c r="H4" s="4"/>
    </row>
    <row r="5">
      <c r="A5" s="4" t="s">
        <v>42</v>
      </c>
      <c r="B5" s="4" t="s">
        <v>45</v>
      </c>
      <c r="C5" s="4" t="s">
        <v>75</v>
      </c>
      <c r="D5" s="4">
        <v>40.0</v>
      </c>
      <c r="E5" s="4">
        <v>11.0</v>
      </c>
      <c r="F5" s="4">
        <f t="shared" si="1"/>
        <v>4.6</v>
      </c>
      <c r="G5" s="4" t="s">
        <v>79</v>
      </c>
      <c r="H5" s="4"/>
    </row>
    <row r="6">
      <c r="A6" s="4" t="s">
        <v>42</v>
      </c>
      <c r="B6" s="4" t="s">
        <v>45</v>
      </c>
      <c r="C6" s="4" t="s">
        <v>83</v>
      </c>
      <c r="D6" s="4">
        <v>40.0</v>
      </c>
      <c r="E6" s="4">
        <v>0.0</v>
      </c>
      <c r="F6" s="4" t="str">
        <f t="shared" si="1"/>
        <v/>
      </c>
      <c r="G6" s="4" t="s">
        <v>52</v>
      </c>
      <c r="H6" s="4" t="s">
        <v>87</v>
      </c>
    </row>
    <row r="7">
      <c r="A7" s="4" t="s">
        <v>89</v>
      </c>
      <c r="B7" s="4" t="s">
        <v>91</v>
      </c>
      <c r="C7" s="4" t="s">
        <v>92</v>
      </c>
      <c r="D7" s="4">
        <v>260.0</v>
      </c>
      <c r="E7" s="6">
        <v>8.0</v>
      </c>
      <c r="F7" s="4">
        <f t="shared" si="1"/>
        <v>40</v>
      </c>
      <c r="G7" s="4" t="s">
        <v>96</v>
      </c>
      <c r="H7" s="4"/>
    </row>
    <row r="8">
      <c r="A8" s="4" t="s">
        <v>89</v>
      </c>
      <c r="B8" s="4" t="s">
        <v>91</v>
      </c>
      <c r="C8" s="4" t="s">
        <v>99</v>
      </c>
      <c r="D8" s="4">
        <v>390.0</v>
      </c>
      <c r="E8" s="4">
        <v>30.0</v>
      </c>
      <c r="F8" s="4">
        <f t="shared" si="1"/>
        <v>18.3</v>
      </c>
      <c r="G8" s="4" t="s">
        <v>52</v>
      </c>
      <c r="H8" s="4"/>
    </row>
    <row r="9">
      <c r="A9" s="4" t="s">
        <v>89</v>
      </c>
      <c r="B9" s="4" t="s">
        <v>91</v>
      </c>
      <c r="C9" s="4" t="s">
        <v>102</v>
      </c>
      <c r="D9" s="4">
        <v>260.0</v>
      </c>
      <c r="E9" s="4">
        <v>24.0</v>
      </c>
      <c r="F9" s="4">
        <f t="shared" si="1"/>
        <v>14.9</v>
      </c>
      <c r="G9" s="4" t="s">
        <v>104</v>
      </c>
      <c r="H9" s="4"/>
    </row>
    <row r="10">
      <c r="A10" s="4" t="s">
        <v>89</v>
      </c>
      <c r="B10" s="4" t="s">
        <v>91</v>
      </c>
      <c r="C10" s="4" t="s">
        <v>106</v>
      </c>
      <c r="D10" s="4">
        <v>210.0</v>
      </c>
      <c r="E10" s="4">
        <v>27.0</v>
      </c>
      <c r="F10" s="4">
        <f t="shared" si="1"/>
        <v>10.8</v>
      </c>
      <c r="G10" s="4" t="s">
        <v>104</v>
      </c>
      <c r="H10" s="4"/>
    </row>
    <row r="11">
      <c r="A11" s="4" t="s">
        <v>109</v>
      </c>
      <c r="B11" s="4" t="s">
        <v>111</v>
      </c>
      <c r="C11" s="4" t="s">
        <v>112</v>
      </c>
      <c r="D11" s="4">
        <v>1000.0</v>
      </c>
      <c r="E11" s="4">
        <v>44.0</v>
      </c>
      <c r="F11" s="4">
        <f t="shared" si="1"/>
        <v>33.2</v>
      </c>
      <c r="G11" s="4" t="s">
        <v>52</v>
      </c>
      <c r="H11" s="4"/>
    </row>
    <row r="12">
      <c r="A12" s="4" t="s">
        <v>109</v>
      </c>
      <c r="B12" s="4" t="s">
        <v>111</v>
      </c>
      <c r="C12" s="4" t="s">
        <v>113</v>
      </c>
      <c r="D12" s="4">
        <v>30.0</v>
      </c>
      <c r="E12" s="4">
        <v>2.0</v>
      </c>
      <c r="F12" s="4">
        <f t="shared" si="1"/>
        <v>16.1</v>
      </c>
      <c r="G12" s="4" t="s">
        <v>80</v>
      </c>
      <c r="H12" s="4"/>
    </row>
    <row r="13">
      <c r="A13" s="4" t="s">
        <v>109</v>
      </c>
      <c r="B13" s="4" t="s">
        <v>111</v>
      </c>
      <c r="C13" s="4" t="s">
        <v>114</v>
      </c>
      <c r="D13" s="4">
        <v>320.0</v>
      </c>
      <c r="E13" s="4">
        <v>29.0</v>
      </c>
      <c r="F13" s="4">
        <f t="shared" si="1"/>
        <v>15.5</v>
      </c>
      <c r="G13" s="4" t="s">
        <v>52</v>
      </c>
      <c r="H13" s="4"/>
    </row>
    <row r="14">
      <c r="A14" s="4" t="s">
        <v>109</v>
      </c>
      <c r="B14" s="4" t="s">
        <v>111</v>
      </c>
      <c r="C14" s="4" t="s">
        <v>117</v>
      </c>
      <c r="D14" s="4">
        <v>390.0</v>
      </c>
      <c r="E14" s="4">
        <v>39.0</v>
      </c>
      <c r="F14" s="4">
        <f t="shared" si="1"/>
        <v>14.4</v>
      </c>
      <c r="G14" s="4" t="s">
        <v>52</v>
      </c>
      <c r="H14" s="4"/>
    </row>
    <row r="15">
      <c r="A15" s="4" t="s">
        <v>109</v>
      </c>
      <c r="B15" s="4" t="s">
        <v>111</v>
      </c>
      <c r="C15" s="4" t="s">
        <v>119</v>
      </c>
      <c r="D15" s="4">
        <v>260.0</v>
      </c>
      <c r="E15" s="4">
        <v>29.0</v>
      </c>
      <c r="F15" s="4">
        <f t="shared" si="1"/>
        <v>12.6</v>
      </c>
      <c r="G15" s="4" t="s">
        <v>80</v>
      </c>
      <c r="H15" s="4"/>
    </row>
    <row r="16">
      <c r="A16" s="4" t="s">
        <v>109</v>
      </c>
      <c r="B16" s="4" t="s">
        <v>111</v>
      </c>
      <c r="C16" s="4" t="s">
        <v>120</v>
      </c>
      <c r="D16" s="4">
        <v>90.0</v>
      </c>
      <c r="E16" s="4">
        <v>10.0</v>
      </c>
      <c r="F16" s="4">
        <f t="shared" si="1"/>
        <v>11.3</v>
      </c>
      <c r="G16" s="4" t="s">
        <v>52</v>
      </c>
      <c r="H16" s="4"/>
    </row>
    <row r="17">
      <c r="A17" s="4" t="s">
        <v>109</v>
      </c>
      <c r="B17" s="4" t="s">
        <v>111</v>
      </c>
      <c r="C17" s="4" t="s">
        <v>124</v>
      </c>
      <c r="D17" s="4">
        <v>260.0</v>
      </c>
      <c r="E17" s="4">
        <v>36.0</v>
      </c>
      <c r="F17" s="4">
        <f t="shared" si="1"/>
        <v>10.3</v>
      </c>
      <c r="G17" s="4" t="s">
        <v>52</v>
      </c>
      <c r="H17" s="4"/>
    </row>
    <row r="18">
      <c r="A18" s="4" t="s">
        <v>109</v>
      </c>
      <c r="B18" s="4" t="s">
        <v>111</v>
      </c>
      <c r="C18" s="4" t="s">
        <v>127</v>
      </c>
      <c r="D18" s="4">
        <v>170.0</v>
      </c>
      <c r="E18" s="4">
        <v>31.0</v>
      </c>
      <c r="F18" s="4">
        <f t="shared" si="1"/>
        <v>7.7</v>
      </c>
      <c r="G18" s="4" t="s">
        <v>52</v>
      </c>
      <c r="H18" s="4"/>
    </row>
    <row r="19">
      <c r="A19" s="4" t="s">
        <v>109</v>
      </c>
      <c r="B19" s="4" t="s">
        <v>111</v>
      </c>
      <c r="C19" s="4" t="s">
        <v>128</v>
      </c>
      <c r="D19" s="4">
        <v>170.0</v>
      </c>
      <c r="E19" s="4">
        <v>33.0</v>
      </c>
      <c r="F19" s="4">
        <f t="shared" si="1"/>
        <v>7.3</v>
      </c>
      <c r="G19" s="4" t="s">
        <v>52</v>
      </c>
      <c r="H19" s="4"/>
    </row>
    <row r="20">
      <c r="A20" s="4" t="s">
        <v>109</v>
      </c>
      <c r="B20" s="4" t="s">
        <v>111</v>
      </c>
      <c r="C20" s="4" t="s">
        <v>134</v>
      </c>
      <c r="D20" s="4">
        <v>210.0</v>
      </c>
      <c r="E20" s="4">
        <v>45.0</v>
      </c>
      <c r="F20" s="4">
        <f t="shared" si="1"/>
        <v>6.8</v>
      </c>
      <c r="G20" s="4" t="s">
        <v>52</v>
      </c>
      <c r="H20" s="4"/>
    </row>
    <row r="21" ht="15.75" customHeight="1">
      <c r="A21" s="4" t="s">
        <v>109</v>
      </c>
      <c r="B21" s="4" t="s">
        <v>111</v>
      </c>
      <c r="C21" s="4" t="s">
        <v>136</v>
      </c>
      <c r="D21" s="4">
        <v>170.0</v>
      </c>
      <c r="E21" s="4">
        <v>45.0</v>
      </c>
      <c r="F21" s="4">
        <f t="shared" si="1"/>
        <v>5.5</v>
      </c>
      <c r="G21" s="4" t="s">
        <v>52</v>
      </c>
      <c r="H21" s="4"/>
    </row>
    <row r="22" ht="15.75" customHeight="1">
      <c r="A22" s="4" t="s">
        <v>109</v>
      </c>
      <c r="B22" s="4" t="s">
        <v>111</v>
      </c>
      <c r="C22" s="4" t="s">
        <v>141</v>
      </c>
      <c r="D22" s="4">
        <v>110.0</v>
      </c>
      <c r="E22" s="4">
        <v>37.0</v>
      </c>
      <c r="F22" s="4">
        <f t="shared" si="1"/>
        <v>4.3</v>
      </c>
      <c r="G22" s="4" t="s">
        <v>52</v>
      </c>
      <c r="H22" s="4"/>
    </row>
    <row r="23" ht="15.75" customHeight="1">
      <c r="A23" s="4" t="s">
        <v>109</v>
      </c>
      <c r="B23" s="4" t="s">
        <v>111</v>
      </c>
      <c r="C23" s="4" t="s">
        <v>144</v>
      </c>
      <c r="D23" s="4">
        <v>110.0</v>
      </c>
      <c r="E23" s="4">
        <v>45.0</v>
      </c>
      <c r="F23" s="4">
        <f t="shared" si="1"/>
        <v>3.6</v>
      </c>
      <c r="G23" s="4" t="s">
        <v>52</v>
      </c>
      <c r="H23" s="4"/>
    </row>
    <row r="24" ht="15.75" customHeight="1">
      <c r="A24" s="4" t="s">
        <v>109</v>
      </c>
      <c r="B24" s="4" t="s">
        <v>111</v>
      </c>
      <c r="C24" s="4" t="s">
        <v>146</v>
      </c>
      <c r="D24" s="4">
        <v>70.0</v>
      </c>
      <c r="E24" s="4">
        <v>34.0</v>
      </c>
      <c r="F24" s="4">
        <f t="shared" si="1"/>
        <v>2.9</v>
      </c>
      <c r="G24" s="4" t="s">
        <v>80</v>
      </c>
      <c r="H24" s="4"/>
    </row>
    <row r="25" ht="15.75" customHeight="1">
      <c r="A25" s="4" t="s">
        <v>109</v>
      </c>
      <c r="B25" s="4" t="s">
        <v>111</v>
      </c>
      <c r="C25" s="4" t="s">
        <v>149</v>
      </c>
      <c r="D25" s="4">
        <v>30.0</v>
      </c>
      <c r="E25" s="4">
        <v>38.0</v>
      </c>
      <c r="F25" s="4">
        <f t="shared" si="1"/>
        <v>1.1</v>
      </c>
      <c r="G25" s="4" t="s">
        <v>52</v>
      </c>
      <c r="H25" s="4"/>
    </row>
    <row r="26" ht="15.75" customHeight="1">
      <c r="A26" s="4" t="s">
        <v>139</v>
      </c>
      <c r="B26" s="4" t="s">
        <v>142</v>
      </c>
      <c r="C26" s="4" t="s">
        <v>152</v>
      </c>
      <c r="D26" s="4">
        <v>3600.0</v>
      </c>
      <c r="E26" s="4">
        <v>41.0</v>
      </c>
      <c r="F26" s="4">
        <f t="shared" si="1"/>
        <v>127.3</v>
      </c>
      <c r="G26" s="4" t="s">
        <v>80</v>
      </c>
      <c r="H26" s="4"/>
    </row>
    <row r="27" ht="15.75" customHeight="1">
      <c r="A27" s="4" t="s">
        <v>139</v>
      </c>
      <c r="B27" s="4" t="s">
        <v>142</v>
      </c>
      <c r="C27" s="4" t="s">
        <v>157</v>
      </c>
      <c r="D27" s="4">
        <v>480.0</v>
      </c>
      <c r="E27" s="4">
        <v>39.0</v>
      </c>
      <c r="F27" s="4">
        <f t="shared" si="1"/>
        <v>17.8</v>
      </c>
      <c r="G27" s="4" t="s">
        <v>52</v>
      </c>
      <c r="H27" s="4"/>
    </row>
    <row r="28" ht="15.75" customHeight="1">
      <c r="A28" s="4" t="s">
        <v>139</v>
      </c>
      <c r="B28" s="4" t="s">
        <v>142</v>
      </c>
      <c r="C28" s="4" t="s">
        <v>160</v>
      </c>
      <c r="D28" s="4">
        <v>260.0</v>
      </c>
      <c r="E28" s="4">
        <v>39.0</v>
      </c>
      <c r="F28" s="4">
        <f t="shared" si="1"/>
        <v>9.6</v>
      </c>
      <c r="G28" s="4" t="s">
        <v>80</v>
      </c>
      <c r="H28" s="4"/>
    </row>
    <row r="29" ht="15.75" customHeight="1">
      <c r="A29" s="4" t="s">
        <v>139</v>
      </c>
      <c r="B29" s="4" t="s">
        <v>142</v>
      </c>
      <c r="C29" s="4" t="s">
        <v>162</v>
      </c>
      <c r="D29" s="4">
        <v>90.0</v>
      </c>
      <c r="E29" s="4">
        <v>12.0</v>
      </c>
      <c r="F29" s="4">
        <f t="shared" si="1"/>
        <v>9.6</v>
      </c>
      <c r="G29" s="4" t="s">
        <v>80</v>
      </c>
      <c r="H29" s="4"/>
    </row>
    <row r="30" ht="15.75" customHeight="1">
      <c r="A30" s="4" t="s">
        <v>139</v>
      </c>
      <c r="B30" s="4" t="s">
        <v>142</v>
      </c>
      <c r="C30" s="4" t="s">
        <v>167</v>
      </c>
      <c r="D30" s="4">
        <v>170.0</v>
      </c>
      <c r="E30" s="4">
        <v>32.0</v>
      </c>
      <c r="F30" s="4">
        <f t="shared" si="1"/>
        <v>7.5</v>
      </c>
      <c r="G30" s="4" t="s">
        <v>80</v>
      </c>
      <c r="H30" s="4"/>
    </row>
    <row r="31" ht="15.75" customHeight="1">
      <c r="A31" s="4" t="s">
        <v>139</v>
      </c>
      <c r="B31" s="4" t="s">
        <v>142</v>
      </c>
      <c r="C31" s="4" t="s">
        <v>169</v>
      </c>
      <c r="D31" s="4">
        <v>170.0</v>
      </c>
      <c r="E31" s="4">
        <v>33.0</v>
      </c>
      <c r="F31" s="4">
        <f t="shared" si="1"/>
        <v>7.3</v>
      </c>
      <c r="G31" s="4" t="s">
        <v>52</v>
      </c>
      <c r="H31" s="4"/>
    </row>
    <row r="32" ht="15.75" customHeight="1">
      <c r="A32" s="4" t="s">
        <v>139</v>
      </c>
      <c r="B32" s="4" t="s">
        <v>142</v>
      </c>
      <c r="C32" s="4" t="s">
        <v>171</v>
      </c>
      <c r="D32" s="4">
        <v>170.0</v>
      </c>
      <c r="E32" s="4">
        <v>34.0</v>
      </c>
      <c r="F32" s="4">
        <f t="shared" si="1"/>
        <v>7.1</v>
      </c>
      <c r="G32" s="4" t="s">
        <v>80</v>
      </c>
      <c r="H32" s="4"/>
    </row>
    <row r="33" ht="15.75" customHeight="1">
      <c r="A33" s="4" t="s">
        <v>139</v>
      </c>
      <c r="B33" s="4" t="s">
        <v>142</v>
      </c>
      <c r="C33" s="4" t="s">
        <v>173</v>
      </c>
      <c r="D33" s="4">
        <v>30.0</v>
      </c>
      <c r="E33" s="4">
        <v>11.0</v>
      </c>
      <c r="F33" s="4">
        <f t="shared" si="1"/>
        <v>3.5</v>
      </c>
      <c r="G33" s="4" t="s">
        <v>80</v>
      </c>
      <c r="H33" s="4"/>
    </row>
    <row r="34" ht="15.75" customHeight="1">
      <c r="A34" s="4" t="s">
        <v>139</v>
      </c>
      <c r="B34" s="4" t="s">
        <v>142</v>
      </c>
      <c r="C34" s="4" t="s">
        <v>177</v>
      </c>
      <c r="D34" s="4">
        <v>70.0</v>
      </c>
      <c r="E34" s="4">
        <v>30.0</v>
      </c>
      <c r="F34" s="4">
        <f t="shared" si="1"/>
        <v>3.3</v>
      </c>
      <c r="G34" s="4" t="s">
        <v>52</v>
      </c>
      <c r="H34" s="4"/>
    </row>
    <row r="35" ht="15.75" customHeight="1">
      <c r="A35" s="4" t="s">
        <v>139</v>
      </c>
      <c r="B35" s="4" t="s">
        <v>142</v>
      </c>
      <c r="C35" s="4" t="s">
        <v>180</v>
      </c>
      <c r="D35" s="4">
        <v>50.0</v>
      </c>
      <c r="E35" s="4">
        <v>23.0</v>
      </c>
      <c r="F35" s="4">
        <f t="shared" si="1"/>
        <v>3</v>
      </c>
      <c r="G35" s="4" t="s">
        <v>52</v>
      </c>
      <c r="H35" s="4"/>
    </row>
    <row r="36" ht="15.75" customHeight="1">
      <c r="A36" s="4" t="s">
        <v>139</v>
      </c>
      <c r="B36" s="4" t="s">
        <v>142</v>
      </c>
      <c r="C36" s="4" t="s">
        <v>182</v>
      </c>
      <c r="D36" s="4">
        <v>70.0</v>
      </c>
      <c r="E36" s="4">
        <v>34.0</v>
      </c>
      <c r="F36" s="4">
        <f t="shared" si="1"/>
        <v>2.9</v>
      </c>
      <c r="G36" s="4" t="s">
        <v>52</v>
      </c>
      <c r="H36" s="4"/>
    </row>
    <row r="37" ht="15.75" customHeight="1">
      <c r="A37" s="4" t="s">
        <v>139</v>
      </c>
      <c r="B37" s="4" t="s">
        <v>142</v>
      </c>
      <c r="C37" s="4" t="s">
        <v>187</v>
      </c>
      <c r="D37" s="4">
        <v>70.0</v>
      </c>
      <c r="E37" s="4">
        <v>38.0</v>
      </c>
      <c r="F37" s="4">
        <f t="shared" si="1"/>
        <v>2.7</v>
      </c>
      <c r="G37" s="4" t="s">
        <v>52</v>
      </c>
      <c r="H37" s="4"/>
    </row>
    <row r="38" ht="15.75" customHeight="1">
      <c r="A38" s="4" t="s">
        <v>139</v>
      </c>
      <c r="B38" s="4" t="s">
        <v>142</v>
      </c>
      <c r="C38" s="4" t="s">
        <v>196</v>
      </c>
      <c r="D38" s="4">
        <v>30.0</v>
      </c>
      <c r="E38" s="4">
        <v>15.0</v>
      </c>
      <c r="F38" s="4">
        <f t="shared" si="1"/>
        <v>2.6</v>
      </c>
      <c r="G38" s="4" t="s">
        <v>52</v>
      </c>
      <c r="H38" s="4"/>
    </row>
    <row r="39" ht="15.75" customHeight="1">
      <c r="A39" s="4" t="s">
        <v>139</v>
      </c>
      <c r="B39" s="4" t="s">
        <v>142</v>
      </c>
      <c r="C39" s="4" t="s">
        <v>202</v>
      </c>
      <c r="D39" s="4">
        <v>30.0</v>
      </c>
      <c r="E39" s="4">
        <v>25.0</v>
      </c>
      <c r="F39" s="4">
        <f t="shared" si="1"/>
        <v>1.7</v>
      </c>
      <c r="G39" s="4" t="s">
        <v>52</v>
      </c>
      <c r="H39" s="4"/>
    </row>
    <row r="40" ht="15.75" customHeight="1">
      <c r="A40" s="4" t="s">
        <v>116</v>
      </c>
      <c r="B40" s="4" t="s">
        <v>118</v>
      </c>
      <c r="C40" s="4" t="s">
        <v>208</v>
      </c>
      <c r="D40" s="4">
        <v>6600.0</v>
      </c>
      <c r="E40" s="4">
        <v>24.0</v>
      </c>
      <c r="F40" s="4">
        <f t="shared" si="1"/>
        <v>377.9</v>
      </c>
      <c r="G40" s="4" t="s">
        <v>104</v>
      </c>
      <c r="H40" s="4"/>
    </row>
    <row r="41" ht="15.75" customHeight="1">
      <c r="A41" s="4" t="s">
        <v>116</v>
      </c>
      <c r="B41" s="4" t="s">
        <v>118</v>
      </c>
      <c r="C41" s="4" t="s">
        <v>211</v>
      </c>
      <c r="D41" s="4">
        <v>1000.0</v>
      </c>
      <c r="E41" s="4">
        <v>25.0</v>
      </c>
      <c r="F41" s="4">
        <f t="shared" si="1"/>
        <v>55.2</v>
      </c>
      <c r="G41" s="4" t="s">
        <v>79</v>
      </c>
      <c r="H41" s="4"/>
    </row>
    <row r="42" ht="15.75" customHeight="1">
      <c r="A42" s="4" t="s">
        <v>116</v>
      </c>
      <c r="B42" s="4" t="s">
        <v>118</v>
      </c>
      <c r="C42" s="4" t="s">
        <v>218</v>
      </c>
      <c r="D42" s="4">
        <v>880.0</v>
      </c>
      <c r="E42" s="4">
        <v>22.0</v>
      </c>
      <c r="F42" s="4">
        <f t="shared" si="1"/>
        <v>54.5</v>
      </c>
      <c r="G42" s="4" t="s">
        <v>79</v>
      </c>
      <c r="H42" s="4"/>
    </row>
    <row r="43" ht="15.75" customHeight="1">
      <c r="A43" s="4" t="s">
        <v>116</v>
      </c>
      <c r="B43" s="4" t="s">
        <v>118</v>
      </c>
      <c r="C43" s="4" t="s">
        <v>222</v>
      </c>
      <c r="D43" s="4">
        <v>170.0</v>
      </c>
      <c r="E43" s="4">
        <v>10.0</v>
      </c>
      <c r="F43" s="4">
        <f t="shared" si="1"/>
        <v>21.4</v>
      </c>
      <c r="G43" s="4" t="s">
        <v>79</v>
      </c>
      <c r="H43" s="4"/>
    </row>
    <row r="44" ht="15.75" customHeight="1">
      <c r="A44" s="4" t="s">
        <v>116</v>
      </c>
      <c r="B44" s="4" t="s">
        <v>118</v>
      </c>
      <c r="C44" s="4" t="s">
        <v>228</v>
      </c>
      <c r="D44" s="4">
        <v>320.0</v>
      </c>
      <c r="E44" s="4">
        <v>21.0</v>
      </c>
      <c r="F44" s="4">
        <f t="shared" si="1"/>
        <v>20.7</v>
      </c>
      <c r="G44" s="4" t="s">
        <v>79</v>
      </c>
      <c r="H44" s="4"/>
    </row>
    <row r="45" ht="15.75" customHeight="1">
      <c r="A45" s="4" t="s">
        <v>116</v>
      </c>
      <c r="B45" s="4" t="s">
        <v>118</v>
      </c>
      <c r="C45" s="4" t="s">
        <v>235</v>
      </c>
      <c r="D45" s="4">
        <v>390.0</v>
      </c>
      <c r="E45" s="4">
        <v>28.0</v>
      </c>
      <c r="F45" s="4">
        <f t="shared" si="1"/>
        <v>19.4</v>
      </c>
      <c r="G45" s="4" t="s">
        <v>79</v>
      </c>
      <c r="H45" s="4"/>
    </row>
    <row r="46" ht="15.75" customHeight="1">
      <c r="A46" s="4" t="s">
        <v>116</v>
      </c>
      <c r="B46" s="4" t="s">
        <v>118</v>
      </c>
      <c r="C46" s="4" t="s">
        <v>240</v>
      </c>
      <c r="D46" s="4">
        <v>260.0</v>
      </c>
      <c r="E46" s="4">
        <v>18.0</v>
      </c>
      <c r="F46" s="4">
        <f t="shared" si="1"/>
        <v>19.3</v>
      </c>
      <c r="G46" s="4" t="s">
        <v>80</v>
      </c>
      <c r="H46" s="4"/>
    </row>
    <row r="47" ht="15.75" customHeight="1">
      <c r="A47" s="4" t="s">
        <v>116</v>
      </c>
      <c r="B47" s="4" t="s">
        <v>118</v>
      </c>
      <c r="C47" s="4" t="s">
        <v>246</v>
      </c>
      <c r="D47" s="4">
        <v>90.0</v>
      </c>
      <c r="E47" s="4">
        <v>6.0</v>
      </c>
      <c r="F47" s="4">
        <f t="shared" si="1"/>
        <v>17.9</v>
      </c>
      <c r="G47" s="4" t="s">
        <v>96</v>
      </c>
      <c r="H47" s="4"/>
    </row>
    <row r="48" ht="15.75" customHeight="1">
      <c r="A48" s="4" t="s">
        <v>116</v>
      </c>
      <c r="B48" s="4" t="s">
        <v>118</v>
      </c>
      <c r="C48" s="4" t="s">
        <v>251</v>
      </c>
      <c r="D48" s="4">
        <v>140.0</v>
      </c>
      <c r="E48" s="4">
        <v>15.0</v>
      </c>
      <c r="F48" s="4">
        <f t="shared" si="1"/>
        <v>12.2</v>
      </c>
      <c r="G48" s="4" t="s">
        <v>96</v>
      </c>
      <c r="H48" s="4"/>
    </row>
    <row r="49" ht="15.75" customHeight="1">
      <c r="A49" s="4" t="s">
        <v>116</v>
      </c>
      <c r="B49" s="4" t="s">
        <v>118</v>
      </c>
      <c r="C49" s="4" t="s">
        <v>256</v>
      </c>
      <c r="D49" s="4">
        <v>210.0</v>
      </c>
      <c r="E49" s="4">
        <v>25.0</v>
      </c>
      <c r="F49" s="4">
        <f t="shared" si="1"/>
        <v>11.6</v>
      </c>
      <c r="G49" s="4" t="s">
        <v>52</v>
      </c>
      <c r="H49" s="4"/>
    </row>
    <row r="50" ht="15.75" customHeight="1">
      <c r="A50" s="4" t="s">
        <v>116</v>
      </c>
      <c r="B50" s="4" t="s">
        <v>118</v>
      </c>
      <c r="C50" s="4" t="s">
        <v>259</v>
      </c>
      <c r="D50" s="4">
        <v>260.0</v>
      </c>
      <c r="E50" s="4">
        <v>36.0</v>
      </c>
      <c r="F50" s="4">
        <f t="shared" si="1"/>
        <v>10.3</v>
      </c>
      <c r="G50" s="4" t="s">
        <v>79</v>
      </c>
      <c r="H50" s="4"/>
    </row>
    <row r="51" ht="15.75" customHeight="1">
      <c r="A51" s="4" t="s">
        <v>116</v>
      </c>
      <c r="B51" s="4" t="s">
        <v>118</v>
      </c>
      <c r="C51" s="4" t="s">
        <v>263</v>
      </c>
      <c r="D51" s="4">
        <v>70.0</v>
      </c>
      <c r="E51" s="4">
        <v>9.0</v>
      </c>
      <c r="F51" s="4">
        <f t="shared" si="1"/>
        <v>9.7</v>
      </c>
      <c r="G51" s="4" t="s">
        <v>96</v>
      </c>
      <c r="H51" s="4"/>
    </row>
    <row r="52" ht="15.75" customHeight="1">
      <c r="A52" s="4" t="s">
        <v>116</v>
      </c>
      <c r="B52" s="4" t="s">
        <v>118</v>
      </c>
      <c r="C52" s="4" t="s">
        <v>273</v>
      </c>
      <c r="D52" s="4">
        <v>110.0</v>
      </c>
      <c r="E52" s="4">
        <v>16.0</v>
      </c>
      <c r="F52" s="4">
        <f t="shared" si="1"/>
        <v>9.1</v>
      </c>
      <c r="G52" s="4" t="s">
        <v>79</v>
      </c>
      <c r="H52" s="4"/>
    </row>
    <row r="53" ht="15.75" customHeight="1">
      <c r="A53" s="4" t="s">
        <v>116</v>
      </c>
      <c r="B53" s="4" t="s">
        <v>118</v>
      </c>
      <c r="C53" s="4" t="s">
        <v>279</v>
      </c>
      <c r="D53" s="4">
        <v>110.0</v>
      </c>
      <c r="E53" s="4">
        <v>28.0</v>
      </c>
      <c r="F53" s="4">
        <f t="shared" si="1"/>
        <v>5.5</v>
      </c>
      <c r="G53" s="4" t="s">
        <v>79</v>
      </c>
      <c r="H53" s="4"/>
    </row>
    <row r="54" ht="15.75" customHeight="1">
      <c r="A54" s="4" t="s">
        <v>116</v>
      </c>
      <c r="B54" s="4" t="s">
        <v>118</v>
      </c>
      <c r="C54" s="4" t="s">
        <v>283</v>
      </c>
      <c r="D54" s="4">
        <v>40.0</v>
      </c>
      <c r="E54" s="4">
        <v>10.0</v>
      </c>
      <c r="F54" s="4">
        <f t="shared" si="1"/>
        <v>5</v>
      </c>
      <c r="G54" s="4" t="s">
        <v>80</v>
      </c>
      <c r="H54" s="4"/>
    </row>
    <row r="55" ht="15.75" customHeight="1">
      <c r="A55" s="4" t="s">
        <v>116</v>
      </c>
      <c r="B55" s="4" t="s">
        <v>118</v>
      </c>
      <c r="C55" s="4" t="s">
        <v>287</v>
      </c>
      <c r="D55" s="4">
        <v>90.0</v>
      </c>
      <c r="E55" s="4">
        <v>26.0</v>
      </c>
      <c r="F55" s="4">
        <f t="shared" si="1"/>
        <v>4.8</v>
      </c>
      <c r="G55" s="4" t="s">
        <v>80</v>
      </c>
      <c r="H55" s="4"/>
    </row>
    <row r="56" ht="15.75" customHeight="1">
      <c r="A56" s="4" t="s">
        <v>116</v>
      </c>
      <c r="B56" s="4" t="s">
        <v>118</v>
      </c>
      <c r="C56" s="4" t="s">
        <v>293</v>
      </c>
      <c r="D56" s="4">
        <v>50.0</v>
      </c>
      <c r="E56" s="4">
        <v>14.0</v>
      </c>
      <c r="F56" s="4">
        <f t="shared" si="1"/>
        <v>4.7</v>
      </c>
      <c r="G56" s="4" t="s">
        <v>52</v>
      </c>
      <c r="H56" s="4"/>
    </row>
    <row r="57" ht="15.75" customHeight="1">
      <c r="A57" s="4" t="s">
        <v>116</v>
      </c>
      <c r="B57" s="4" t="s">
        <v>118</v>
      </c>
      <c r="C57" s="4" t="s">
        <v>297</v>
      </c>
      <c r="D57" s="4">
        <v>40.0</v>
      </c>
      <c r="E57" s="4">
        <v>11.0</v>
      </c>
      <c r="F57" s="4">
        <f t="shared" si="1"/>
        <v>4.6</v>
      </c>
      <c r="G57" s="4" t="s">
        <v>79</v>
      </c>
      <c r="H57" s="4"/>
    </row>
    <row r="58" ht="15.75" customHeight="1">
      <c r="A58" s="4" t="s">
        <v>116</v>
      </c>
      <c r="B58" s="4" t="s">
        <v>118</v>
      </c>
      <c r="C58" s="4" t="s">
        <v>302</v>
      </c>
      <c r="D58" s="4">
        <v>40.0</v>
      </c>
      <c r="E58" s="4">
        <v>12.0</v>
      </c>
      <c r="F58" s="4">
        <f t="shared" si="1"/>
        <v>4.3</v>
      </c>
      <c r="G58" s="4" t="s">
        <v>79</v>
      </c>
      <c r="H58" s="4"/>
    </row>
    <row r="59" ht="15.75" customHeight="1">
      <c r="A59" s="4" t="s">
        <v>116</v>
      </c>
      <c r="B59" s="4" t="s">
        <v>118</v>
      </c>
      <c r="C59" s="4" t="s">
        <v>307</v>
      </c>
      <c r="D59" s="4">
        <v>70.0</v>
      </c>
      <c r="E59" s="4">
        <v>26.0</v>
      </c>
      <c r="F59" s="4">
        <f t="shared" si="1"/>
        <v>3.7</v>
      </c>
      <c r="G59" s="4" t="s">
        <v>79</v>
      </c>
      <c r="H59" s="4"/>
    </row>
    <row r="60" ht="15.75" customHeight="1">
      <c r="A60" s="4" t="s">
        <v>116</v>
      </c>
      <c r="B60" s="4" t="s">
        <v>118</v>
      </c>
      <c r="C60" s="4" t="s">
        <v>311</v>
      </c>
      <c r="D60" s="4">
        <v>50.0</v>
      </c>
      <c r="E60" s="4">
        <v>21.0</v>
      </c>
      <c r="F60" s="4">
        <f t="shared" si="1"/>
        <v>3.2</v>
      </c>
      <c r="G60" s="4" t="s">
        <v>96</v>
      </c>
      <c r="H60" s="4"/>
    </row>
    <row r="61" ht="15.75" customHeight="1">
      <c r="A61" s="4" t="s">
        <v>116</v>
      </c>
      <c r="B61" s="4" t="s">
        <v>118</v>
      </c>
      <c r="C61" s="4" t="s">
        <v>316</v>
      </c>
      <c r="D61" s="4">
        <v>50.0</v>
      </c>
      <c r="E61" s="4">
        <v>24.0</v>
      </c>
      <c r="F61" s="4">
        <f t="shared" si="1"/>
        <v>2.9</v>
      </c>
      <c r="G61" s="4" t="s">
        <v>79</v>
      </c>
      <c r="H61" s="4"/>
    </row>
    <row r="62" ht="15.75" customHeight="1">
      <c r="A62" s="4" t="s">
        <v>116</v>
      </c>
      <c r="B62" s="4" t="s">
        <v>118</v>
      </c>
      <c r="C62" s="4" t="s">
        <v>321</v>
      </c>
      <c r="D62" s="4">
        <v>40.0</v>
      </c>
      <c r="E62" s="4">
        <v>20.0</v>
      </c>
      <c r="F62" s="4">
        <f t="shared" si="1"/>
        <v>2.7</v>
      </c>
      <c r="G62" s="4" t="s">
        <v>52</v>
      </c>
      <c r="H62" s="4"/>
    </row>
    <row r="63" ht="15.75" customHeight="1">
      <c r="A63" s="4" t="s">
        <v>116</v>
      </c>
      <c r="B63" s="4" t="s">
        <v>118</v>
      </c>
      <c r="C63" s="4" t="s">
        <v>325</v>
      </c>
      <c r="D63" s="4">
        <v>30.0</v>
      </c>
      <c r="E63" s="4">
        <v>16.0</v>
      </c>
      <c r="F63" s="4">
        <f t="shared" si="1"/>
        <v>2.5</v>
      </c>
      <c r="G63" s="4" t="s">
        <v>104</v>
      </c>
      <c r="H63" s="4"/>
    </row>
    <row r="64" ht="15.75" customHeight="1">
      <c r="A64" s="4" t="s">
        <v>116</v>
      </c>
      <c r="B64" s="4" t="s">
        <v>118</v>
      </c>
      <c r="C64" s="4" t="s">
        <v>329</v>
      </c>
      <c r="D64" s="4">
        <v>70.0</v>
      </c>
      <c r="E64" s="4">
        <v>0.0</v>
      </c>
      <c r="F64" s="4" t="str">
        <f t="shared" si="1"/>
        <v/>
      </c>
      <c r="G64" s="4" t="s">
        <v>52</v>
      </c>
      <c r="H64" s="4" t="s">
        <v>87</v>
      </c>
    </row>
    <row r="65" ht="15.75" customHeight="1">
      <c r="A65" s="4" t="s">
        <v>51</v>
      </c>
      <c r="B65" s="4" t="s">
        <v>54</v>
      </c>
      <c r="C65" s="4" t="s">
        <v>335</v>
      </c>
      <c r="D65" s="4">
        <v>3600.0</v>
      </c>
      <c r="E65" s="4">
        <v>26.0</v>
      </c>
      <c r="F65" s="4">
        <f t="shared" si="1"/>
        <v>191.8</v>
      </c>
      <c r="G65" s="4" t="s">
        <v>96</v>
      </c>
      <c r="H65" s="4"/>
    </row>
    <row r="66" ht="15.75" customHeight="1">
      <c r="A66" s="4" t="s">
        <v>51</v>
      </c>
      <c r="B66" s="4" t="s">
        <v>54</v>
      </c>
      <c r="C66" s="4" t="s">
        <v>340</v>
      </c>
      <c r="D66" s="4">
        <v>3600.0</v>
      </c>
      <c r="E66" s="4">
        <v>34.0</v>
      </c>
      <c r="F66" s="4">
        <f t="shared" si="1"/>
        <v>150.7</v>
      </c>
      <c r="G66" s="4" t="s">
        <v>52</v>
      </c>
      <c r="H66" s="4"/>
    </row>
    <row r="67" ht="15.75" customHeight="1">
      <c r="A67" s="4" t="s">
        <v>51</v>
      </c>
      <c r="B67" s="4" t="s">
        <v>54</v>
      </c>
      <c r="C67" s="4" t="s">
        <v>345</v>
      </c>
      <c r="D67" s="4">
        <v>1300.0</v>
      </c>
      <c r="E67" s="6">
        <v>11.0</v>
      </c>
      <c r="F67" s="4">
        <f t="shared" si="1"/>
        <v>150.2</v>
      </c>
      <c r="G67" s="4" t="s">
        <v>80</v>
      </c>
      <c r="H67" s="4"/>
    </row>
    <row r="68" ht="15.75" customHeight="1">
      <c r="A68" s="4" t="s">
        <v>51</v>
      </c>
      <c r="B68" s="4" t="s">
        <v>54</v>
      </c>
      <c r="C68" s="4" t="s">
        <v>352</v>
      </c>
      <c r="D68" s="4">
        <v>2400.0</v>
      </c>
      <c r="E68" s="4">
        <v>25.0</v>
      </c>
      <c r="F68" s="4">
        <f t="shared" si="1"/>
        <v>132.5</v>
      </c>
      <c r="G68" s="4" t="s">
        <v>80</v>
      </c>
      <c r="H68" s="4"/>
    </row>
    <row r="69" ht="15.75" customHeight="1">
      <c r="A69" s="4" t="s">
        <v>51</v>
      </c>
      <c r="B69" s="4" t="s">
        <v>54</v>
      </c>
      <c r="C69" s="4" t="s">
        <v>356</v>
      </c>
      <c r="D69" s="4">
        <v>1600.0</v>
      </c>
      <c r="E69" s="4">
        <v>26.0</v>
      </c>
      <c r="F69" s="4">
        <f t="shared" si="1"/>
        <v>85.2</v>
      </c>
      <c r="G69" s="4" t="s">
        <v>80</v>
      </c>
      <c r="H69" s="4"/>
    </row>
    <row r="70" ht="15.75" customHeight="1">
      <c r="A70" s="4" t="s">
        <v>51</v>
      </c>
      <c r="B70" s="4" t="s">
        <v>54</v>
      </c>
      <c r="C70" s="4" t="s">
        <v>361</v>
      </c>
      <c r="D70" s="4">
        <v>590.0</v>
      </c>
      <c r="E70" s="6">
        <v>12.0</v>
      </c>
      <c r="F70" s="4">
        <f t="shared" si="1"/>
        <v>63</v>
      </c>
      <c r="G70" s="4" t="s">
        <v>80</v>
      </c>
      <c r="H70" s="4"/>
    </row>
    <row r="71" ht="15.75" customHeight="1">
      <c r="A71" s="4" t="s">
        <v>51</v>
      </c>
      <c r="B71" s="4" t="s">
        <v>54</v>
      </c>
      <c r="C71" s="4" t="s">
        <v>366</v>
      </c>
      <c r="D71" s="4">
        <v>1000.0</v>
      </c>
      <c r="E71" s="4">
        <v>23.0</v>
      </c>
      <c r="F71" s="4">
        <f t="shared" si="1"/>
        <v>59.5</v>
      </c>
      <c r="G71" s="4" t="s">
        <v>96</v>
      </c>
      <c r="H71" s="4"/>
    </row>
    <row r="72" ht="15.75" customHeight="1">
      <c r="A72" s="4" t="s">
        <v>51</v>
      </c>
      <c r="B72" s="4" t="s">
        <v>54</v>
      </c>
      <c r="C72" s="4" t="s">
        <v>370</v>
      </c>
      <c r="D72" s="4">
        <v>1000.0</v>
      </c>
      <c r="E72" s="4">
        <v>36.0</v>
      </c>
      <c r="F72" s="4">
        <f t="shared" si="1"/>
        <v>39.7</v>
      </c>
      <c r="G72" s="4" t="s">
        <v>52</v>
      </c>
      <c r="H72" s="4"/>
    </row>
    <row r="73" ht="15.75" customHeight="1">
      <c r="A73" s="4" t="s">
        <v>51</v>
      </c>
      <c r="B73" s="4" t="s">
        <v>54</v>
      </c>
      <c r="C73" s="4" t="s">
        <v>373</v>
      </c>
      <c r="D73" s="4">
        <v>480.0</v>
      </c>
      <c r="E73" s="4">
        <v>17.0</v>
      </c>
      <c r="F73" s="4">
        <f t="shared" si="1"/>
        <v>37.5</v>
      </c>
      <c r="G73" s="4" t="s">
        <v>80</v>
      </c>
      <c r="H73" s="4"/>
    </row>
    <row r="74" ht="15.75" customHeight="1">
      <c r="A74" s="4" t="s">
        <v>51</v>
      </c>
      <c r="B74" s="4" t="s">
        <v>54</v>
      </c>
      <c r="C74" s="4" t="s">
        <v>378</v>
      </c>
      <c r="D74" s="4">
        <v>720.0</v>
      </c>
      <c r="E74" s="4">
        <v>27.0</v>
      </c>
      <c r="F74" s="4">
        <f t="shared" si="1"/>
        <v>37.1</v>
      </c>
      <c r="G74" s="4" t="s">
        <v>80</v>
      </c>
      <c r="H74" s="4"/>
    </row>
    <row r="75" ht="15.75" customHeight="1">
      <c r="A75" s="4" t="s">
        <v>51</v>
      </c>
      <c r="B75" s="4" t="s">
        <v>54</v>
      </c>
      <c r="C75" s="4" t="s">
        <v>382</v>
      </c>
      <c r="D75" s="4">
        <v>720.0</v>
      </c>
      <c r="E75" s="4">
        <v>27.0</v>
      </c>
      <c r="F75" s="4">
        <f t="shared" si="1"/>
        <v>37.1</v>
      </c>
      <c r="G75" s="4" t="s">
        <v>80</v>
      </c>
      <c r="H75" s="4"/>
    </row>
    <row r="76" ht="15.75" customHeight="1">
      <c r="A76" s="4" t="s">
        <v>51</v>
      </c>
      <c r="B76" s="4" t="s">
        <v>54</v>
      </c>
      <c r="C76" s="4" t="s">
        <v>384</v>
      </c>
      <c r="D76" s="4">
        <v>880.0</v>
      </c>
      <c r="E76" s="4">
        <v>34.0</v>
      </c>
      <c r="F76" s="4">
        <f t="shared" si="1"/>
        <v>36.8</v>
      </c>
      <c r="G76" s="4" t="s">
        <v>80</v>
      </c>
      <c r="H76" s="4"/>
    </row>
    <row r="77" ht="15.75" customHeight="1">
      <c r="A77" s="4" t="s">
        <v>51</v>
      </c>
      <c r="B77" s="4" t="s">
        <v>54</v>
      </c>
      <c r="C77" s="4" t="s">
        <v>386</v>
      </c>
      <c r="D77" s="4">
        <v>390.0</v>
      </c>
      <c r="E77" s="6">
        <v>15.0</v>
      </c>
      <c r="F77" s="4">
        <f t="shared" si="1"/>
        <v>34.1</v>
      </c>
      <c r="G77" s="4" t="s">
        <v>80</v>
      </c>
      <c r="H77" s="4"/>
    </row>
    <row r="78" ht="15.75" customHeight="1">
      <c r="A78" s="4" t="s">
        <v>51</v>
      </c>
      <c r="B78" s="4" t="s">
        <v>54</v>
      </c>
      <c r="C78" s="4" t="s">
        <v>389</v>
      </c>
      <c r="D78" s="4">
        <v>1000.0</v>
      </c>
      <c r="E78" s="4">
        <v>43.0</v>
      </c>
      <c r="F78" s="4">
        <f t="shared" si="1"/>
        <v>33.9</v>
      </c>
      <c r="G78" s="4" t="s">
        <v>79</v>
      </c>
      <c r="H78" s="4"/>
    </row>
    <row r="79" ht="15.75" customHeight="1">
      <c r="A79" s="4" t="s">
        <v>51</v>
      </c>
      <c r="B79" s="4" t="s">
        <v>54</v>
      </c>
      <c r="C79" s="4" t="s">
        <v>392</v>
      </c>
      <c r="D79" s="4">
        <v>390.0</v>
      </c>
      <c r="E79" s="4">
        <v>17.0</v>
      </c>
      <c r="F79" s="4">
        <f t="shared" si="1"/>
        <v>30.5</v>
      </c>
      <c r="G79" s="4" t="s">
        <v>80</v>
      </c>
      <c r="H79" s="4"/>
    </row>
    <row r="80" ht="15.75" customHeight="1">
      <c r="A80" s="4" t="s">
        <v>51</v>
      </c>
      <c r="B80" s="4" t="s">
        <v>54</v>
      </c>
      <c r="C80" s="4" t="s">
        <v>394</v>
      </c>
      <c r="D80" s="4">
        <v>320.0</v>
      </c>
      <c r="E80" s="4">
        <v>16.0</v>
      </c>
      <c r="F80" s="4">
        <f t="shared" si="1"/>
        <v>26.4</v>
      </c>
      <c r="G80" s="4" t="s">
        <v>96</v>
      </c>
      <c r="H80" s="4"/>
    </row>
    <row r="81" ht="15.75" customHeight="1">
      <c r="A81" s="4" t="s">
        <v>51</v>
      </c>
      <c r="B81" s="4" t="s">
        <v>54</v>
      </c>
      <c r="C81" s="4" t="s">
        <v>396</v>
      </c>
      <c r="D81" s="4">
        <v>260.0</v>
      </c>
      <c r="E81" s="6">
        <v>13.0</v>
      </c>
      <c r="F81" s="4">
        <f t="shared" si="1"/>
        <v>25.8</v>
      </c>
      <c r="G81" s="4" t="s">
        <v>96</v>
      </c>
      <c r="H81" s="4"/>
    </row>
    <row r="82" ht="15.75" customHeight="1">
      <c r="A82" s="4" t="s">
        <v>51</v>
      </c>
      <c r="B82" s="4" t="s">
        <v>54</v>
      </c>
      <c r="C82" s="4" t="s">
        <v>398</v>
      </c>
      <c r="D82" s="4">
        <v>260.0</v>
      </c>
      <c r="E82" s="6">
        <v>14.0</v>
      </c>
      <c r="F82" s="4">
        <f t="shared" si="1"/>
        <v>24.2</v>
      </c>
      <c r="G82" s="4" t="s">
        <v>80</v>
      </c>
      <c r="H82" s="4"/>
    </row>
    <row r="83" ht="15.75" customHeight="1">
      <c r="A83" s="4" t="s">
        <v>51</v>
      </c>
      <c r="B83" s="4" t="s">
        <v>54</v>
      </c>
      <c r="C83" s="4" t="s">
        <v>400</v>
      </c>
      <c r="D83" s="4">
        <v>320.0</v>
      </c>
      <c r="E83" s="4">
        <v>19.0</v>
      </c>
      <c r="F83" s="4">
        <f t="shared" si="1"/>
        <v>22.6</v>
      </c>
      <c r="G83" s="4" t="s">
        <v>80</v>
      </c>
      <c r="H83" s="4"/>
    </row>
    <row r="84" ht="15.75" customHeight="1">
      <c r="A84" s="4" t="s">
        <v>51</v>
      </c>
      <c r="B84" s="4" t="s">
        <v>54</v>
      </c>
      <c r="C84" s="4" t="s">
        <v>401</v>
      </c>
      <c r="D84" s="4">
        <v>390.0</v>
      </c>
      <c r="E84" s="4">
        <v>25.0</v>
      </c>
      <c r="F84" s="4">
        <f t="shared" si="1"/>
        <v>21.5</v>
      </c>
      <c r="G84" s="4" t="s">
        <v>80</v>
      </c>
      <c r="H84" s="4"/>
    </row>
    <row r="85" ht="15.75" customHeight="1">
      <c r="A85" s="4" t="s">
        <v>51</v>
      </c>
      <c r="B85" s="4" t="s">
        <v>54</v>
      </c>
      <c r="C85" s="4" t="s">
        <v>403</v>
      </c>
      <c r="D85" s="4">
        <v>210.0</v>
      </c>
      <c r="E85" s="6">
        <v>14.0</v>
      </c>
      <c r="F85" s="4">
        <f t="shared" si="1"/>
        <v>19.5</v>
      </c>
      <c r="G85" s="4" t="s">
        <v>80</v>
      </c>
      <c r="H85" s="4"/>
    </row>
    <row r="86" ht="15.75" customHeight="1">
      <c r="A86" s="4" t="s">
        <v>51</v>
      </c>
      <c r="B86" s="4" t="s">
        <v>54</v>
      </c>
      <c r="C86" s="4" t="s">
        <v>406</v>
      </c>
      <c r="D86" s="4">
        <v>260.0</v>
      </c>
      <c r="E86" s="4">
        <v>18.0</v>
      </c>
      <c r="F86" s="4">
        <f t="shared" si="1"/>
        <v>19.3</v>
      </c>
      <c r="G86" s="4" t="s">
        <v>80</v>
      </c>
      <c r="H86" s="4"/>
    </row>
    <row r="87" ht="15.75" customHeight="1">
      <c r="A87" s="4" t="s">
        <v>51</v>
      </c>
      <c r="B87" s="4" t="s">
        <v>54</v>
      </c>
      <c r="C87" s="4" t="s">
        <v>409</v>
      </c>
      <c r="D87" s="4">
        <v>390.0</v>
      </c>
      <c r="E87" s="4">
        <v>29.0</v>
      </c>
      <c r="F87" s="4">
        <f t="shared" si="1"/>
        <v>18.8</v>
      </c>
      <c r="G87" s="4" t="s">
        <v>96</v>
      </c>
      <c r="H87" s="4"/>
    </row>
    <row r="88" ht="15.75" customHeight="1">
      <c r="A88" s="4" t="s">
        <v>51</v>
      </c>
      <c r="B88" s="4" t="s">
        <v>54</v>
      </c>
      <c r="C88" s="4" t="s">
        <v>411</v>
      </c>
      <c r="D88" s="4">
        <v>320.0</v>
      </c>
      <c r="E88" s="4">
        <v>27.0</v>
      </c>
      <c r="F88" s="4">
        <f t="shared" si="1"/>
        <v>16.5</v>
      </c>
      <c r="G88" s="4" t="s">
        <v>80</v>
      </c>
      <c r="H88" s="4"/>
    </row>
    <row r="89" ht="15.75" customHeight="1">
      <c r="A89" s="4" t="s">
        <v>51</v>
      </c>
      <c r="B89" s="4" t="s">
        <v>54</v>
      </c>
      <c r="C89" s="4" t="s">
        <v>413</v>
      </c>
      <c r="D89" s="4">
        <v>170.0</v>
      </c>
      <c r="E89" s="4">
        <v>15.0</v>
      </c>
      <c r="F89" s="4">
        <f t="shared" si="1"/>
        <v>14.9</v>
      </c>
      <c r="G89" s="4" t="s">
        <v>80</v>
      </c>
      <c r="H89" s="4"/>
    </row>
    <row r="90" ht="15.75" customHeight="1">
      <c r="A90" s="4" t="s">
        <v>51</v>
      </c>
      <c r="B90" s="4" t="s">
        <v>54</v>
      </c>
      <c r="C90" s="4" t="s">
        <v>416</v>
      </c>
      <c r="D90" s="4">
        <v>170.0</v>
      </c>
      <c r="E90" s="4">
        <v>15.0</v>
      </c>
      <c r="F90" s="4">
        <f t="shared" si="1"/>
        <v>14.9</v>
      </c>
      <c r="G90" s="4" t="s">
        <v>80</v>
      </c>
      <c r="H90" s="4"/>
    </row>
    <row r="91" ht="15.75" customHeight="1">
      <c r="A91" s="4" t="s">
        <v>51</v>
      </c>
      <c r="B91" s="4" t="s">
        <v>54</v>
      </c>
      <c r="C91" s="4" t="s">
        <v>419</v>
      </c>
      <c r="D91" s="4">
        <v>260.0</v>
      </c>
      <c r="E91" s="4">
        <v>24.0</v>
      </c>
      <c r="F91" s="4">
        <f t="shared" si="1"/>
        <v>14.9</v>
      </c>
      <c r="G91" s="4" t="s">
        <v>96</v>
      </c>
      <c r="H91" s="4"/>
    </row>
    <row r="92" ht="15.75" customHeight="1">
      <c r="A92" s="4" t="s">
        <v>51</v>
      </c>
      <c r="B92" s="4" t="s">
        <v>54</v>
      </c>
      <c r="C92" s="4" t="s">
        <v>422</v>
      </c>
      <c r="D92" s="4">
        <v>390.0</v>
      </c>
      <c r="E92" s="4">
        <v>42.0</v>
      </c>
      <c r="F92" s="4">
        <f t="shared" si="1"/>
        <v>13.5</v>
      </c>
      <c r="G92" s="4" t="s">
        <v>79</v>
      </c>
      <c r="H92" s="4"/>
    </row>
    <row r="93" ht="15.75" customHeight="1">
      <c r="A93" s="4" t="s">
        <v>51</v>
      </c>
      <c r="B93" s="4" t="s">
        <v>54</v>
      </c>
      <c r="C93" s="4" t="s">
        <v>426</v>
      </c>
      <c r="D93" s="4">
        <v>260.0</v>
      </c>
      <c r="E93" s="4">
        <v>27.0</v>
      </c>
      <c r="F93" s="4">
        <f t="shared" si="1"/>
        <v>13.4</v>
      </c>
      <c r="G93" s="4" t="s">
        <v>80</v>
      </c>
      <c r="H93" s="4"/>
    </row>
    <row r="94" ht="15.75" customHeight="1">
      <c r="A94" s="4" t="s">
        <v>51</v>
      </c>
      <c r="B94" s="4" t="s">
        <v>54</v>
      </c>
      <c r="C94" s="4" t="s">
        <v>429</v>
      </c>
      <c r="D94" s="4">
        <v>320.0</v>
      </c>
      <c r="E94" s="4">
        <v>39.0</v>
      </c>
      <c r="F94" s="4">
        <f t="shared" si="1"/>
        <v>11.8</v>
      </c>
      <c r="G94" s="4" t="s">
        <v>52</v>
      </c>
      <c r="H94" s="4"/>
    </row>
    <row r="95" ht="15.75" customHeight="1">
      <c r="A95" s="4" t="s">
        <v>51</v>
      </c>
      <c r="B95" s="4" t="s">
        <v>54</v>
      </c>
      <c r="C95" s="4" t="s">
        <v>432</v>
      </c>
      <c r="D95" s="4">
        <v>90.0</v>
      </c>
      <c r="E95" s="4">
        <v>10.0</v>
      </c>
      <c r="F95" s="4">
        <f t="shared" si="1"/>
        <v>11.3</v>
      </c>
      <c r="G95" s="4" t="s">
        <v>80</v>
      </c>
      <c r="H95" s="4"/>
    </row>
    <row r="96" ht="15.75" customHeight="1">
      <c r="A96" s="4" t="s">
        <v>51</v>
      </c>
      <c r="B96" s="4" t="s">
        <v>54</v>
      </c>
      <c r="C96" s="4" t="s">
        <v>435</v>
      </c>
      <c r="D96" s="4">
        <v>260.0</v>
      </c>
      <c r="E96" s="4">
        <v>35.0</v>
      </c>
      <c r="F96" s="4">
        <f t="shared" si="1"/>
        <v>10.6</v>
      </c>
      <c r="G96" s="4" t="s">
        <v>52</v>
      </c>
      <c r="H96" s="4"/>
    </row>
    <row r="97" ht="15.75" customHeight="1">
      <c r="A97" s="4" t="s">
        <v>51</v>
      </c>
      <c r="B97" s="4" t="s">
        <v>54</v>
      </c>
      <c r="C97" s="4" t="s">
        <v>438</v>
      </c>
      <c r="D97" s="4">
        <v>140.0</v>
      </c>
      <c r="E97" s="4">
        <v>18.0</v>
      </c>
      <c r="F97" s="4">
        <f t="shared" si="1"/>
        <v>10.4</v>
      </c>
      <c r="G97" s="4" t="s">
        <v>80</v>
      </c>
      <c r="H97" s="4"/>
    </row>
    <row r="98" ht="15.75" customHeight="1">
      <c r="A98" s="4" t="s">
        <v>51</v>
      </c>
      <c r="B98" s="4" t="s">
        <v>54</v>
      </c>
      <c r="C98" s="4" t="s">
        <v>440</v>
      </c>
      <c r="D98" s="4">
        <v>260.0</v>
      </c>
      <c r="E98" s="4">
        <v>36.0</v>
      </c>
      <c r="F98" s="4">
        <f t="shared" si="1"/>
        <v>10.3</v>
      </c>
      <c r="G98" s="4" t="s">
        <v>104</v>
      </c>
      <c r="H98" s="4"/>
    </row>
    <row r="99" ht="15.75" customHeight="1">
      <c r="A99" s="4" t="s">
        <v>51</v>
      </c>
      <c r="B99" s="4" t="s">
        <v>54</v>
      </c>
      <c r="C99" s="4" t="s">
        <v>443</v>
      </c>
      <c r="D99" s="4">
        <v>110.0</v>
      </c>
      <c r="E99" s="4">
        <v>15.0</v>
      </c>
      <c r="F99" s="4">
        <f t="shared" si="1"/>
        <v>9.6</v>
      </c>
      <c r="G99" s="4" t="s">
        <v>96</v>
      </c>
      <c r="H99" s="4"/>
    </row>
    <row r="100" ht="15.75" customHeight="1">
      <c r="A100" s="4" t="s">
        <v>51</v>
      </c>
      <c r="B100" s="4" t="s">
        <v>54</v>
      </c>
      <c r="C100" s="4" t="s">
        <v>444</v>
      </c>
      <c r="D100" s="4">
        <v>260.0</v>
      </c>
      <c r="E100" s="4">
        <v>39.0</v>
      </c>
      <c r="F100" s="4">
        <f t="shared" si="1"/>
        <v>9.6</v>
      </c>
      <c r="G100" s="4" t="s">
        <v>104</v>
      </c>
      <c r="H100" s="4"/>
    </row>
    <row r="101" ht="15.75" customHeight="1">
      <c r="A101" s="4" t="s">
        <v>51</v>
      </c>
      <c r="B101" s="4" t="s">
        <v>54</v>
      </c>
      <c r="C101" s="4" t="s">
        <v>445</v>
      </c>
      <c r="D101" s="4">
        <v>140.0</v>
      </c>
      <c r="E101" s="4">
        <v>20.0</v>
      </c>
      <c r="F101" s="4">
        <f t="shared" si="1"/>
        <v>9.4</v>
      </c>
      <c r="G101" s="4" t="s">
        <v>96</v>
      </c>
      <c r="H101" s="4"/>
    </row>
    <row r="102" ht="15.75" customHeight="1">
      <c r="A102" s="4" t="s">
        <v>51</v>
      </c>
      <c r="B102" s="4" t="s">
        <v>54</v>
      </c>
      <c r="C102" s="4" t="s">
        <v>447</v>
      </c>
      <c r="D102" s="4">
        <v>110.0</v>
      </c>
      <c r="E102" s="4">
        <v>16.0</v>
      </c>
      <c r="F102" s="4">
        <f t="shared" si="1"/>
        <v>9.1</v>
      </c>
      <c r="G102" s="4" t="s">
        <v>80</v>
      </c>
      <c r="H102" s="4"/>
    </row>
    <row r="103" ht="15.75" customHeight="1">
      <c r="A103" s="4" t="s">
        <v>51</v>
      </c>
      <c r="B103" s="4" t="s">
        <v>54</v>
      </c>
      <c r="C103" s="4" t="s">
        <v>450</v>
      </c>
      <c r="D103" s="4">
        <v>110.0</v>
      </c>
      <c r="E103" s="4">
        <v>16.0</v>
      </c>
      <c r="F103" s="4">
        <f t="shared" si="1"/>
        <v>9.1</v>
      </c>
      <c r="G103" s="4" t="s">
        <v>80</v>
      </c>
      <c r="H103" s="4"/>
    </row>
    <row r="104" ht="15.75" customHeight="1">
      <c r="A104" s="4" t="s">
        <v>51</v>
      </c>
      <c r="B104" s="4" t="s">
        <v>54</v>
      </c>
      <c r="C104" s="4" t="s">
        <v>452</v>
      </c>
      <c r="D104" s="4">
        <v>140.0</v>
      </c>
      <c r="E104" s="4">
        <v>21.0</v>
      </c>
      <c r="F104" s="4">
        <f t="shared" si="1"/>
        <v>9</v>
      </c>
      <c r="G104" s="4" t="s">
        <v>96</v>
      </c>
      <c r="H104" s="4"/>
    </row>
    <row r="105" ht="15.75" customHeight="1">
      <c r="A105" s="4" t="s">
        <v>51</v>
      </c>
      <c r="B105" s="4" t="s">
        <v>54</v>
      </c>
      <c r="C105" s="4" t="s">
        <v>454</v>
      </c>
      <c r="D105" s="4">
        <v>110.0</v>
      </c>
      <c r="E105" s="4">
        <v>17.0</v>
      </c>
      <c r="F105" s="4">
        <f t="shared" si="1"/>
        <v>8.6</v>
      </c>
      <c r="G105" s="4" t="s">
        <v>80</v>
      </c>
      <c r="H105" s="4"/>
    </row>
    <row r="106" ht="15.75" customHeight="1">
      <c r="A106" s="4" t="s">
        <v>51</v>
      </c>
      <c r="B106" s="4" t="s">
        <v>54</v>
      </c>
      <c r="C106" s="4" t="s">
        <v>456</v>
      </c>
      <c r="D106" s="4">
        <v>170.0</v>
      </c>
      <c r="E106" s="4">
        <v>29.0</v>
      </c>
      <c r="F106" s="4">
        <f t="shared" si="1"/>
        <v>8.2</v>
      </c>
      <c r="G106" s="4" t="s">
        <v>52</v>
      </c>
      <c r="H106" s="4"/>
    </row>
    <row r="107" ht="15.75" customHeight="1">
      <c r="A107" s="4" t="s">
        <v>51</v>
      </c>
      <c r="B107" s="4" t="s">
        <v>54</v>
      </c>
      <c r="C107" s="4" t="s">
        <v>458</v>
      </c>
      <c r="D107" s="4">
        <v>210.0</v>
      </c>
      <c r="E107" s="4">
        <v>39.0</v>
      </c>
      <c r="F107" s="4">
        <f t="shared" si="1"/>
        <v>7.8</v>
      </c>
      <c r="G107" s="4" t="s">
        <v>52</v>
      </c>
      <c r="H107" s="4"/>
    </row>
    <row r="108" ht="15.75" customHeight="1">
      <c r="A108" s="4" t="s">
        <v>51</v>
      </c>
      <c r="B108" s="4" t="s">
        <v>54</v>
      </c>
      <c r="C108" s="4" t="s">
        <v>460</v>
      </c>
      <c r="D108" s="4">
        <v>140.0</v>
      </c>
      <c r="E108" s="4">
        <v>25.0</v>
      </c>
      <c r="F108" s="4">
        <f t="shared" si="1"/>
        <v>7.7</v>
      </c>
      <c r="G108" s="4" t="s">
        <v>80</v>
      </c>
      <c r="H108" s="4"/>
    </row>
    <row r="109" ht="15.75" customHeight="1">
      <c r="A109" s="4" t="s">
        <v>51</v>
      </c>
      <c r="B109" s="4" t="s">
        <v>54</v>
      </c>
      <c r="C109" s="4" t="s">
        <v>462</v>
      </c>
      <c r="D109" s="4">
        <v>210.0</v>
      </c>
      <c r="E109" s="4">
        <v>41.0</v>
      </c>
      <c r="F109" s="4">
        <f t="shared" si="1"/>
        <v>7.4</v>
      </c>
      <c r="G109" s="4" t="s">
        <v>52</v>
      </c>
      <c r="H109" s="4"/>
    </row>
    <row r="110" ht="15.75" customHeight="1">
      <c r="A110" s="4" t="s">
        <v>51</v>
      </c>
      <c r="B110" s="4" t="s">
        <v>54</v>
      </c>
      <c r="C110" s="4" t="s">
        <v>464</v>
      </c>
      <c r="D110" s="4">
        <v>70.0</v>
      </c>
      <c r="E110" s="4">
        <v>14.0</v>
      </c>
      <c r="F110" s="4">
        <f t="shared" si="1"/>
        <v>6.5</v>
      </c>
      <c r="G110" s="4" t="s">
        <v>80</v>
      </c>
      <c r="H110" s="4"/>
    </row>
    <row r="111" ht="15.75" customHeight="1">
      <c r="A111" s="4" t="s">
        <v>51</v>
      </c>
      <c r="B111" s="4" t="s">
        <v>54</v>
      </c>
      <c r="C111" s="4" t="s">
        <v>466</v>
      </c>
      <c r="D111" s="4">
        <v>50.0</v>
      </c>
      <c r="E111" s="4">
        <v>10.0</v>
      </c>
      <c r="F111" s="4">
        <f t="shared" si="1"/>
        <v>6.3</v>
      </c>
      <c r="G111" s="4" t="s">
        <v>80</v>
      </c>
      <c r="H111" s="4"/>
    </row>
    <row r="112" ht="15.75" customHeight="1">
      <c r="A112" s="4" t="s">
        <v>51</v>
      </c>
      <c r="B112" s="4" t="s">
        <v>54</v>
      </c>
      <c r="C112" s="4" t="s">
        <v>468</v>
      </c>
      <c r="D112" s="4">
        <v>90.0</v>
      </c>
      <c r="E112" s="4">
        <v>20.0</v>
      </c>
      <c r="F112" s="4">
        <f t="shared" si="1"/>
        <v>6.1</v>
      </c>
      <c r="G112" s="4" t="s">
        <v>80</v>
      </c>
      <c r="H112" s="4"/>
    </row>
    <row r="113" ht="15.75" customHeight="1">
      <c r="A113" s="4" t="s">
        <v>51</v>
      </c>
      <c r="B113" s="4" t="s">
        <v>54</v>
      </c>
      <c r="C113" s="4" t="s">
        <v>469</v>
      </c>
      <c r="D113" s="4">
        <v>170.0</v>
      </c>
      <c r="E113" s="4">
        <v>44.0</v>
      </c>
      <c r="F113" s="4">
        <f t="shared" si="1"/>
        <v>5.6</v>
      </c>
      <c r="G113" s="4" t="s">
        <v>104</v>
      </c>
      <c r="H113" s="4"/>
    </row>
    <row r="114" ht="15.75" customHeight="1">
      <c r="A114" s="4" t="s">
        <v>51</v>
      </c>
      <c r="B114" s="4" t="s">
        <v>54</v>
      </c>
      <c r="C114" s="4" t="s">
        <v>471</v>
      </c>
      <c r="D114" s="4">
        <v>170.0</v>
      </c>
      <c r="E114" s="4">
        <v>44.0</v>
      </c>
      <c r="F114" s="4">
        <f t="shared" si="1"/>
        <v>5.6</v>
      </c>
      <c r="G114" s="4" t="s">
        <v>52</v>
      </c>
      <c r="H114" s="4"/>
    </row>
    <row r="115" ht="15.75" customHeight="1">
      <c r="A115" s="4" t="s">
        <v>51</v>
      </c>
      <c r="B115" s="4" t="s">
        <v>54</v>
      </c>
      <c r="C115" s="4" t="s">
        <v>473</v>
      </c>
      <c r="D115" s="4">
        <v>90.0</v>
      </c>
      <c r="E115" s="4">
        <v>25.0</v>
      </c>
      <c r="F115" s="4">
        <f t="shared" si="1"/>
        <v>5</v>
      </c>
      <c r="G115" s="4" t="s">
        <v>80</v>
      </c>
      <c r="H115" s="4"/>
    </row>
    <row r="116" ht="15.75" customHeight="1">
      <c r="A116" s="4" t="s">
        <v>51</v>
      </c>
      <c r="B116" s="4" t="s">
        <v>54</v>
      </c>
      <c r="C116" s="4" t="s">
        <v>475</v>
      </c>
      <c r="D116" s="4">
        <v>110.0</v>
      </c>
      <c r="E116" s="4">
        <v>31.0</v>
      </c>
      <c r="F116" s="4">
        <f t="shared" si="1"/>
        <v>5</v>
      </c>
      <c r="G116" s="4" t="s">
        <v>96</v>
      </c>
      <c r="H116" s="4"/>
    </row>
    <row r="117" ht="15.75" customHeight="1">
      <c r="A117" s="4" t="s">
        <v>51</v>
      </c>
      <c r="B117" s="4" t="s">
        <v>54</v>
      </c>
      <c r="C117" s="4" t="s">
        <v>478</v>
      </c>
      <c r="D117" s="4">
        <v>70.0</v>
      </c>
      <c r="E117" s="4">
        <v>23.0</v>
      </c>
      <c r="F117" s="4">
        <f t="shared" si="1"/>
        <v>4.2</v>
      </c>
      <c r="G117" s="4" t="s">
        <v>96</v>
      </c>
      <c r="H117" s="4"/>
    </row>
    <row r="118" ht="15.75" customHeight="1">
      <c r="A118" s="4" t="s">
        <v>51</v>
      </c>
      <c r="B118" s="4" t="s">
        <v>54</v>
      </c>
      <c r="C118" s="4" t="s">
        <v>481</v>
      </c>
      <c r="D118" s="4">
        <v>40.0</v>
      </c>
      <c r="E118" s="4">
        <v>13.0</v>
      </c>
      <c r="F118" s="4">
        <f t="shared" si="1"/>
        <v>4</v>
      </c>
      <c r="G118" s="4" t="s">
        <v>96</v>
      </c>
      <c r="H118" s="4"/>
    </row>
    <row r="119" ht="15.75" customHeight="1">
      <c r="A119" s="4" t="s">
        <v>51</v>
      </c>
      <c r="B119" s="4" t="s">
        <v>54</v>
      </c>
      <c r="C119" s="4" t="s">
        <v>484</v>
      </c>
      <c r="D119" s="4">
        <v>90.0</v>
      </c>
      <c r="E119" s="4">
        <v>33.0</v>
      </c>
      <c r="F119" s="4">
        <f t="shared" si="1"/>
        <v>3.9</v>
      </c>
      <c r="G119" s="4" t="s">
        <v>80</v>
      </c>
      <c r="H119" s="4"/>
    </row>
    <row r="120" ht="15.75" customHeight="1">
      <c r="A120" s="4" t="s">
        <v>51</v>
      </c>
      <c r="B120" s="4" t="s">
        <v>54</v>
      </c>
      <c r="C120" s="4" t="s">
        <v>486</v>
      </c>
      <c r="D120" s="4">
        <v>40.0</v>
      </c>
      <c r="E120" s="4">
        <v>14.0</v>
      </c>
      <c r="F120" s="4">
        <f t="shared" si="1"/>
        <v>3.7</v>
      </c>
      <c r="G120" s="4" t="s">
        <v>80</v>
      </c>
      <c r="H120" s="4"/>
    </row>
    <row r="121" ht="15.75" customHeight="1">
      <c r="A121" s="4" t="s">
        <v>51</v>
      </c>
      <c r="B121" s="4" t="s">
        <v>54</v>
      </c>
      <c r="C121" s="4" t="s">
        <v>489</v>
      </c>
      <c r="D121" s="4">
        <v>50.0</v>
      </c>
      <c r="E121" s="4">
        <v>18.0</v>
      </c>
      <c r="F121" s="4">
        <f t="shared" si="1"/>
        <v>3.7</v>
      </c>
      <c r="G121" s="4" t="s">
        <v>96</v>
      </c>
      <c r="H121" s="4"/>
    </row>
    <row r="122" ht="15.75" customHeight="1">
      <c r="A122" s="4" t="s">
        <v>51</v>
      </c>
      <c r="B122" s="4" t="s">
        <v>54</v>
      </c>
      <c r="C122" s="4" t="s">
        <v>491</v>
      </c>
      <c r="D122" s="4">
        <v>40.0</v>
      </c>
      <c r="E122" s="4">
        <v>16.0</v>
      </c>
      <c r="F122" s="4">
        <f t="shared" si="1"/>
        <v>3.3</v>
      </c>
      <c r="G122" s="4" t="s">
        <v>96</v>
      </c>
      <c r="H122" s="4"/>
    </row>
    <row r="123" ht="15.75" customHeight="1">
      <c r="A123" s="4" t="s">
        <v>51</v>
      </c>
      <c r="B123" s="4" t="s">
        <v>54</v>
      </c>
      <c r="C123" s="4" t="s">
        <v>494</v>
      </c>
      <c r="D123" s="4">
        <v>40.0</v>
      </c>
      <c r="E123" s="4">
        <v>17.0</v>
      </c>
      <c r="F123" s="4">
        <f t="shared" si="1"/>
        <v>3.1</v>
      </c>
      <c r="G123" s="4" t="s">
        <v>52</v>
      </c>
      <c r="H123" s="4"/>
    </row>
    <row r="124" ht="15.75" customHeight="1">
      <c r="A124" s="4" t="s">
        <v>51</v>
      </c>
      <c r="B124" s="4" t="s">
        <v>54</v>
      </c>
      <c r="C124" s="4" t="s">
        <v>498</v>
      </c>
      <c r="D124" s="4">
        <v>50.0</v>
      </c>
      <c r="E124" s="4">
        <v>24.0</v>
      </c>
      <c r="F124" s="4">
        <f t="shared" si="1"/>
        <v>2.9</v>
      </c>
      <c r="G124" s="4" t="s">
        <v>80</v>
      </c>
      <c r="H124" s="4"/>
    </row>
    <row r="125" ht="15.75" customHeight="1">
      <c r="A125" s="4" t="s">
        <v>51</v>
      </c>
      <c r="B125" s="4" t="s">
        <v>54</v>
      </c>
      <c r="C125" s="4" t="s">
        <v>500</v>
      </c>
      <c r="D125" s="4">
        <v>70.0</v>
      </c>
      <c r="E125" s="4">
        <v>37.0</v>
      </c>
      <c r="F125" s="4">
        <f t="shared" si="1"/>
        <v>2.7</v>
      </c>
      <c r="G125" s="4" t="s">
        <v>52</v>
      </c>
      <c r="H125" s="4"/>
    </row>
    <row r="126" ht="15.75" customHeight="1">
      <c r="A126" s="4" t="s">
        <v>51</v>
      </c>
      <c r="B126" s="4" t="s">
        <v>54</v>
      </c>
      <c r="C126" s="4" t="s">
        <v>503</v>
      </c>
      <c r="D126" s="4">
        <v>40.0</v>
      </c>
      <c r="E126" s="4">
        <v>21.0</v>
      </c>
      <c r="F126" s="4">
        <f t="shared" si="1"/>
        <v>2.6</v>
      </c>
      <c r="G126" s="4" t="s">
        <v>96</v>
      </c>
      <c r="H126" s="4"/>
    </row>
    <row r="127" ht="15.75" customHeight="1">
      <c r="A127" s="4" t="s">
        <v>51</v>
      </c>
      <c r="B127" s="4" t="s">
        <v>54</v>
      </c>
      <c r="C127" s="4" t="s">
        <v>505</v>
      </c>
      <c r="D127" s="4">
        <v>50.0</v>
      </c>
      <c r="E127" s="4">
        <v>37.0</v>
      </c>
      <c r="F127" s="4">
        <f t="shared" si="1"/>
        <v>1.9</v>
      </c>
      <c r="G127" s="4" t="s">
        <v>52</v>
      </c>
      <c r="H127" s="4"/>
    </row>
    <row r="128" ht="15.75" customHeight="1">
      <c r="A128" s="4" t="s">
        <v>51</v>
      </c>
      <c r="B128" s="4" t="s">
        <v>54</v>
      </c>
      <c r="C128" s="4" t="s">
        <v>507</v>
      </c>
      <c r="D128" s="4">
        <v>30.0</v>
      </c>
      <c r="E128" s="4">
        <v>21.0</v>
      </c>
      <c r="F128" s="4">
        <f t="shared" si="1"/>
        <v>1.9</v>
      </c>
      <c r="G128" s="4" t="s">
        <v>80</v>
      </c>
      <c r="H128" s="4"/>
    </row>
    <row r="129" ht="15.75" customHeight="1">
      <c r="A129" s="4" t="s">
        <v>51</v>
      </c>
      <c r="B129" s="4" t="s">
        <v>54</v>
      </c>
      <c r="C129" s="4" t="s">
        <v>509</v>
      </c>
      <c r="D129" s="4">
        <v>30.0</v>
      </c>
      <c r="E129" s="4">
        <v>37.0</v>
      </c>
      <c r="F129" s="4">
        <f t="shared" si="1"/>
        <v>1.2</v>
      </c>
      <c r="G129" s="4" t="s">
        <v>104</v>
      </c>
      <c r="H129" s="4"/>
    </row>
    <row r="130" ht="15.75" customHeight="1">
      <c r="A130" s="4" t="s">
        <v>122</v>
      </c>
      <c r="B130" s="4" t="s">
        <v>123</v>
      </c>
      <c r="C130" s="4" t="s">
        <v>512</v>
      </c>
      <c r="D130" s="4">
        <v>390.0</v>
      </c>
      <c r="E130" s="6">
        <v>7.0</v>
      </c>
      <c r="F130" s="4">
        <f t="shared" si="1"/>
        <v>67.7</v>
      </c>
      <c r="G130" s="4" t="s">
        <v>79</v>
      </c>
      <c r="H130" s="4"/>
    </row>
    <row r="131" ht="15.75" customHeight="1">
      <c r="A131" s="4" t="s">
        <v>122</v>
      </c>
      <c r="B131" s="4" t="s">
        <v>123</v>
      </c>
      <c r="C131" s="4" t="s">
        <v>514</v>
      </c>
      <c r="D131" s="4">
        <v>720.0</v>
      </c>
      <c r="E131" s="4">
        <v>17.0</v>
      </c>
      <c r="F131" s="4">
        <f t="shared" si="1"/>
        <v>56.2</v>
      </c>
      <c r="G131" s="4" t="s">
        <v>79</v>
      </c>
      <c r="H131" s="4"/>
    </row>
    <row r="132" ht="15.75" customHeight="1">
      <c r="A132" s="4" t="s">
        <v>122</v>
      </c>
      <c r="B132" s="4" t="s">
        <v>123</v>
      </c>
      <c r="C132" s="4" t="s">
        <v>516</v>
      </c>
      <c r="D132" s="4">
        <v>880.0</v>
      </c>
      <c r="E132" s="4">
        <v>23.0</v>
      </c>
      <c r="F132" s="4">
        <f t="shared" si="1"/>
        <v>52.4</v>
      </c>
      <c r="G132" s="4" t="s">
        <v>96</v>
      </c>
      <c r="H132" s="4"/>
    </row>
    <row r="133" ht="15.75" customHeight="1">
      <c r="A133" s="4" t="s">
        <v>122</v>
      </c>
      <c r="B133" s="4" t="s">
        <v>123</v>
      </c>
      <c r="C133" s="4" t="s">
        <v>522</v>
      </c>
      <c r="D133" s="4">
        <v>390.0</v>
      </c>
      <c r="E133" s="6">
        <v>12.0</v>
      </c>
      <c r="F133" s="4">
        <f t="shared" si="1"/>
        <v>41.7</v>
      </c>
      <c r="G133" s="4" t="s">
        <v>80</v>
      </c>
      <c r="H133" s="4"/>
    </row>
    <row r="134" ht="15.75" customHeight="1">
      <c r="A134" s="4" t="s">
        <v>122</v>
      </c>
      <c r="B134" s="4" t="s">
        <v>123</v>
      </c>
      <c r="C134" s="4" t="s">
        <v>525</v>
      </c>
      <c r="D134" s="4">
        <v>390.0</v>
      </c>
      <c r="E134" s="6">
        <v>14.0</v>
      </c>
      <c r="F134" s="4">
        <f t="shared" si="1"/>
        <v>36.3</v>
      </c>
      <c r="G134" s="4" t="s">
        <v>96</v>
      </c>
      <c r="H134" s="4"/>
    </row>
    <row r="135" ht="15.75" customHeight="1">
      <c r="A135" s="4" t="s">
        <v>122</v>
      </c>
      <c r="B135" s="4" t="s">
        <v>123</v>
      </c>
      <c r="C135" s="4" t="s">
        <v>526</v>
      </c>
      <c r="D135" s="4">
        <v>90.0</v>
      </c>
      <c r="E135" s="4">
        <v>3.0</v>
      </c>
      <c r="F135" s="4">
        <f t="shared" si="1"/>
        <v>33.5</v>
      </c>
      <c r="G135" s="4" t="s">
        <v>96</v>
      </c>
      <c r="H135" s="4"/>
    </row>
    <row r="136" ht="15.75" customHeight="1">
      <c r="A136" s="4" t="s">
        <v>122</v>
      </c>
      <c r="B136" s="4" t="s">
        <v>123</v>
      </c>
      <c r="C136" s="4" t="s">
        <v>528</v>
      </c>
      <c r="D136" s="4">
        <v>210.0</v>
      </c>
      <c r="E136" s="6">
        <v>8.0</v>
      </c>
      <c r="F136" s="4">
        <f t="shared" si="1"/>
        <v>32.3</v>
      </c>
      <c r="G136" s="4" t="s">
        <v>52</v>
      </c>
      <c r="H136" s="4"/>
    </row>
    <row r="137" ht="15.75" customHeight="1">
      <c r="A137" s="4" t="s">
        <v>122</v>
      </c>
      <c r="B137" s="4" t="s">
        <v>123</v>
      </c>
      <c r="C137" s="4" t="s">
        <v>531</v>
      </c>
      <c r="D137" s="4">
        <v>320.0</v>
      </c>
      <c r="E137" s="6">
        <v>14.0</v>
      </c>
      <c r="F137" s="4">
        <f t="shared" si="1"/>
        <v>29.8</v>
      </c>
      <c r="G137" s="4" t="s">
        <v>96</v>
      </c>
      <c r="H137" s="4"/>
    </row>
    <row r="138" ht="15.75" customHeight="1">
      <c r="A138" s="4" t="s">
        <v>122</v>
      </c>
      <c r="B138" s="4" t="s">
        <v>123</v>
      </c>
      <c r="C138" s="4" t="s">
        <v>534</v>
      </c>
      <c r="D138" s="4">
        <v>320.0</v>
      </c>
      <c r="E138" s="6">
        <v>15.0</v>
      </c>
      <c r="F138" s="4">
        <f t="shared" si="1"/>
        <v>28</v>
      </c>
      <c r="G138" s="4" t="s">
        <v>96</v>
      </c>
      <c r="H138" s="4"/>
    </row>
    <row r="139" ht="15.75" customHeight="1">
      <c r="A139" s="4" t="s">
        <v>122</v>
      </c>
      <c r="B139" s="4" t="s">
        <v>123</v>
      </c>
      <c r="C139" s="4" t="s">
        <v>538</v>
      </c>
      <c r="D139" s="4">
        <v>170.0</v>
      </c>
      <c r="E139" s="4">
        <v>8.0</v>
      </c>
      <c r="F139" s="4">
        <f t="shared" si="1"/>
        <v>26.2</v>
      </c>
      <c r="G139" s="4" t="s">
        <v>96</v>
      </c>
      <c r="H139" s="4"/>
    </row>
    <row r="140" ht="15.75" customHeight="1">
      <c r="A140" s="4" t="s">
        <v>122</v>
      </c>
      <c r="B140" s="4" t="s">
        <v>123</v>
      </c>
      <c r="C140" s="4" t="s">
        <v>541</v>
      </c>
      <c r="D140" s="4">
        <v>210.0</v>
      </c>
      <c r="E140" s="6">
        <v>11.0</v>
      </c>
      <c r="F140" s="4">
        <f t="shared" si="1"/>
        <v>24.3</v>
      </c>
      <c r="G140" s="4" t="s">
        <v>52</v>
      </c>
      <c r="H140" s="4"/>
    </row>
    <row r="141" ht="15.75" customHeight="1">
      <c r="A141" s="4" t="s">
        <v>122</v>
      </c>
      <c r="B141" s="4" t="s">
        <v>123</v>
      </c>
      <c r="C141" s="4" t="s">
        <v>544</v>
      </c>
      <c r="D141" s="4">
        <v>140.0</v>
      </c>
      <c r="E141" s="4">
        <v>7.0</v>
      </c>
      <c r="F141" s="4">
        <f t="shared" si="1"/>
        <v>24.3</v>
      </c>
      <c r="G141" s="4" t="s">
        <v>80</v>
      </c>
      <c r="H141" s="4"/>
    </row>
    <row r="142" ht="15.75" customHeight="1">
      <c r="A142" s="4" t="s">
        <v>122</v>
      </c>
      <c r="B142" s="4" t="s">
        <v>123</v>
      </c>
      <c r="C142" s="4" t="s">
        <v>545</v>
      </c>
      <c r="D142" s="4">
        <v>210.0</v>
      </c>
      <c r="E142" s="6">
        <v>12.0</v>
      </c>
      <c r="F142" s="4">
        <f t="shared" si="1"/>
        <v>22.4</v>
      </c>
      <c r="G142" s="4" t="s">
        <v>52</v>
      </c>
      <c r="H142" s="4"/>
    </row>
    <row r="143" ht="15.75" customHeight="1">
      <c r="A143" s="4" t="s">
        <v>122</v>
      </c>
      <c r="B143" s="4" t="s">
        <v>123</v>
      </c>
      <c r="C143" s="4" t="s">
        <v>547</v>
      </c>
      <c r="D143" s="4">
        <v>170.0</v>
      </c>
      <c r="E143" s="4">
        <v>10.0</v>
      </c>
      <c r="F143" s="4">
        <f t="shared" si="1"/>
        <v>21.4</v>
      </c>
      <c r="G143" s="4" t="s">
        <v>96</v>
      </c>
      <c r="H143" s="4"/>
    </row>
    <row r="144" ht="15.75" customHeight="1">
      <c r="A144" s="4" t="s">
        <v>122</v>
      </c>
      <c r="B144" s="4" t="s">
        <v>123</v>
      </c>
      <c r="C144" s="4" t="s">
        <v>549</v>
      </c>
      <c r="D144" s="4">
        <v>210.0</v>
      </c>
      <c r="E144" s="6">
        <v>13.0</v>
      </c>
      <c r="F144" s="4">
        <f t="shared" si="1"/>
        <v>20.9</v>
      </c>
      <c r="G144" s="4" t="s">
        <v>52</v>
      </c>
      <c r="H144" s="4"/>
    </row>
    <row r="145" ht="15.75" customHeight="1">
      <c r="A145" s="4" t="s">
        <v>122</v>
      </c>
      <c r="B145" s="4" t="s">
        <v>123</v>
      </c>
      <c r="C145" s="4" t="s">
        <v>552</v>
      </c>
      <c r="D145" s="4">
        <v>170.0</v>
      </c>
      <c r="E145" s="4">
        <v>11.0</v>
      </c>
      <c r="F145" s="4">
        <f t="shared" si="1"/>
        <v>19.6</v>
      </c>
      <c r="G145" s="4" t="s">
        <v>96</v>
      </c>
      <c r="H145" s="4"/>
    </row>
    <row r="146" ht="15.75" customHeight="1">
      <c r="A146" s="4" t="s">
        <v>122</v>
      </c>
      <c r="B146" s="4" t="s">
        <v>123</v>
      </c>
      <c r="C146" s="4" t="s">
        <v>554</v>
      </c>
      <c r="D146" s="4">
        <v>90.0</v>
      </c>
      <c r="E146" s="4">
        <v>6.0</v>
      </c>
      <c r="F146" s="4">
        <f t="shared" si="1"/>
        <v>17.9</v>
      </c>
      <c r="G146" s="4" t="s">
        <v>52</v>
      </c>
      <c r="H146" s="4"/>
    </row>
    <row r="147" ht="15.75" customHeight="1">
      <c r="A147" s="4" t="s">
        <v>122</v>
      </c>
      <c r="B147" s="4" t="s">
        <v>123</v>
      </c>
      <c r="C147" s="4" t="s">
        <v>557</v>
      </c>
      <c r="D147" s="4">
        <v>110.0</v>
      </c>
      <c r="E147" s="4">
        <v>8.0</v>
      </c>
      <c r="F147" s="4">
        <f t="shared" si="1"/>
        <v>16.9</v>
      </c>
      <c r="G147" s="4" t="s">
        <v>96</v>
      </c>
      <c r="H147" s="4"/>
    </row>
    <row r="148" ht="15.75" customHeight="1">
      <c r="A148" s="4" t="s">
        <v>122</v>
      </c>
      <c r="B148" s="4" t="s">
        <v>123</v>
      </c>
      <c r="C148" s="4" t="s">
        <v>560</v>
      </c>
      <c r="D148" s="4">
        <v>140.0</v>
      </c>
      <c r="E148" s="4">
        <v>11.0</v>
      </c>
      <c r="F148" s="4">
        <f t="shared" si="1"/>
        <v>16.2</v>
      </c>
      <c r="G148" s="4" t="s">
        <v>52</v>
      </c>
      <c r="H148" s="4"/>
    </row>
    <row r="149" ht="15.75" customHeight="1">
      <c r="A149" s="4" t="s">
        <v>122</v>
      </c>
      <c r="B149" s="4" t="s">
        <v>123</v>
      </c>
      <c r="C149" s="4" t="s">
        <v>562</v>
      </c>
      <c r="D149" s="4">
        <v>170.0</v>
      </c>
      <c r="E149" s="4">
        <v>15.0</v>
      </c>
      <c r="F149" s="4">
        <f t="shared" si="1"/>
        <v>14.9</v>
      </c>
      <c r="G149" s="4" t="s">
        <v>52</v>
      </c>
      <c r="H149" s="4"/>
    </row>
    <row r="150" ht="15.75" customHeight="1">
      <c r="A150" s="4" t="s">
        <v>122</v>
      </c>
      <c r="B150" s="4" t="s">
        <v>123</v>
      </c>
      <c r="C150" s="4" t="s">
        <v>566</v>
      </c>
      <c r="D150" s="4">
        <v>260.0</v>
      </c>
      <c r="E150" s="4">
        <v>25.0</v>
      </c>
      <c r="F150" s="4">
        <f t="shared" si="1"/>
        <v>14.3</v>
      </c>
      <c r="G150" s="4" t="s">
        <v>80</v>
      </c>
      <c r="H150" s="4"/>
    </row>
    <row r="151" ht="15.75" customHeight="1">
      <c r="A151" s="4" t="s">
        <v>122</v>
      </c>
      <c r="B151" s="4" t="s">
        <v>123</v>
      </c>
      <c r="C151" s="4" t="s">
        <v>568</v>
      </c>
      <c r="D151" s="4">
        <v>110.0</v>
      </c>
      <c r="E151" s="4">
        <v>10.0</v>
      </c>
      <c r="F151" s="4">
        <f t="shared" si="1"/>
        <v>13.8</v>
      </c>
      <c r="G151" s="4" t="s">
        <v>96</v>
      </c>
      <c r="H151" s="4"/>
    </row>
    <row r="152" ht="15.75" customHeight="1">
      <c r="A152" s="4" t="s">
        <v>122</v>
      </c>
      <c r="B152" s="4" t="s">
        <v>123</v>
      </c>
      <c r="C152" s="4" t="s">
        <v>570</v>
      </c>
      <c r="D152" s="4">
        <v>170.0</v>
      </c>
      <c r="E152" s="4">
        <v>17.0</v>
      </c>
      <c r="F152" s="4">
        <f t="shared" si="1"/>
        <v>13.3</v>
      </c>
      <c r="G152" s="4" t="s">
        <v>80</v>
      </c>
      <c r="H152" s="4"/>
    </row>
    <row r="153" ht="15.75" customHeight="1">
      <c r="A153" s="4" t="s">
        <v>122</v>
      </c>
      <c r="B153" s="4" t="s">
        <v>123</v>
      </c>
      <c r="C153" s="4" t="s">
        <v>574</v>
      </c>
      <c r="D153" s="4">
        <v>170.0</v>
      </c>
      <c r="E153" s="4">
        <v>17.0</v>
      </c>
      <c r="F153" s="4">
        <f t="shared" si="1"/>
        <v>13.3</v>
      </c>
      <c r="G153" s="4" t="s">
        <v>96</v>
      </c>
      <c r="H153" s="4"/>
    </row>
    <row r="154" ht="15.75" customHeight="1">
      <c r="A154" s="4" t="s">
        <v>122</v>
      </c>
      <c r="B154" s="4" t="s">
        <v>123</v>
      </c>
      <c r="C154" s="4" t="s">
        <v>576</v>
      </c>
      <c r="D154" s="4">
        <v>110.0</v>
      </c>
      <c r="E154" s="4">
        <v>11.0</v>
      </c>
      <c r="F154" s="4">
        <f t="shared" si="1"/>
        <v>12.7</v>
      </c>
      <c r="G154" s="4" t="s">
        <v>96</v>
      </c>
      <c r="H154" s="4"/>
    </row>
    <row r="155" ht="15.75" customHeight="1">
      <c r="A155" s="4" t="s">
        <v>122</v>
      </c>
      <c r="B155" s="4" t="s">
        <v>123</v>
      </c>
      <c r="C155" s="4" t="s">
        <v>579</v>
      </c>
      <c r="D155" s="4">
        <v>90.0</v>
      </c>
      <c r="E155" s="4">
        <v>9.0</v>
      </c>
      <c r="F155" s="4">
        <f t="shared" si="1"/>
        <v>12.5</v>
      </c>
      <c r="G155" s="4" t="s">
        <v>96</v>
      </c>
      <c r="H155" s="4"/>
    </row>
    <row r="156" ht="15.75" customHeight="1">
      <c r="A156" s="4" t="s">
        <v>122</v>
      </c>
      <c r="B156" s="4" t="s">
        <v>123</v>
      </c>
      <c r="C156" s="4" t="s">
        <v>581</v>
      </c>
      <c r="D156" s="4">
        <v>70.0</v>
      </c>
      <c r="E156" s="4">
        <v>7.0</v>
      </c>
      <c r="F156" s="4">
        <f t="shared" si="1"/>
        <v>12.1</v>
      </c>
      <c r="G156" s="4" t="s">
        <v>96</v>
      </c>
      <c r="H156" s="4"/>
    </row>
    <row r="157" ht="15.75" customHeight="1">
      <c r="A157" s="4" t="s">
        <v>122</v>
      </c>
      <c r="B157" s="4" t="s">
        <v>123</v>
      </c>
      <c r="C157" s="4" t="s">
        <v>584</v>
      </c>
      <c r="D157" s="4">
        <v>50.0</v>
      </c>
      <c r="E157" s="4">
        <v>5.0</v>
      </c>
      <c r="F157" s="4">
        <f t="shared" si="1"/>
        <v>11.7</v>
      </c>
      <c r="G157" s="4" t="s">
        <v>52</v>
      </c>
      <c r="H157" s="4"/>
    </row>
    <row r="158" ht="15.75" customHeight="1">
      <c r="A158" s="4" t="s">
        <v>122</v>
      </c>
      <c r="B158" s="4" t="s">
        <v>123</v>
      </c>
      <c r="C158" s="4" t="s">
        <v>587</v>
      </c>
      <c r="D158" s="4">
        <v>140.0</v>
      </c>
      <c r="E158" s="4">
        <v>16.0</v>
      </c>
      <c r="F158" s="4">
        <f t="shared" si="1"/>
        <v>11.5</v>
      </c>
      <c r="G158" s="4" t="s">
        <v>52</v>
      </c>
      <c r="H158" s="4"/>
    </row>
    <row r="159" ht="15.75" customHeight="1">
      <c r="A159" s="4" t="s">
        <v>122</v>
      </c>
      <c r="B159" s="4" t="s">
        <v>123</v>
      </c>
      <c r="C159" s="4" t="s">
        <v>591</v>
      </c>
      <c r="D159" s="4">
        <v>110.0</v>
      </c>
      <c r="E159" s="4">
        <v>15.0</v>
      </c>
      <c r="F159" s="4">
        <f t="shared" si="1"/>
        <v>9.6</v>
      </c>
      <c r="G159" s="4" t="s">
        <v>52</v>
      </c>
      <c r="H159" s="4"/>
    </row>
    <row r="160" ht="15.75" customHeight="1">
      <c r="A160" s="4" t="s">
        <v>122</v>
      </c>
      <c r="B160" s="4" t="s">
        <v>123</v>
      </c>
      <c r="C160" s="4" t="s">
        <v>594</v>
      </c>
      <c r="D160" s="4">
        <v>140.0</v>
      </c>
      <c r="E160" s="4">
        <v>22.0</v>
      </c>
      <c r="F160" s="4">
        <f t="shared" si="1"/>
        <v>8.7</v>
      </c>
      <c r="G160" s="4" t="s">
        <v>80</v>
      </c>
      <c r="H160" s="4"/>
    </row>
    <row r="161" ht="15.75" customHeight="1">
      <c r="A161" s="4" t="s">
        <v>122</v>
      </c>
      <c r="B161" s="4" t="s">
        <v>123</v>
      </c>
      <c r="C161" s="4" t="s">
        <v>596</v>
      </c>
      <c r="D161" s="4">
        <v>90.0</v>
      </c>
      <c r="E161" s="4">
        <v>15.0</v>
      </c>
      <c r="F161" s="4">
        <f t="shared" si="1"/>
        <v>7.9</v>
      </c>
      <c r="G161" s="4" t="s">
        <v>96</v>
      </c>
      <c r="H161" s="4"/>
    </row>
    <row r="162" ht="15.75" customHeight="1">
      <c r="A162" s="4" t="s">
        <v>122</v>
      </c>
      <c r="B162" s="4" t="s">
        <v>123</v>
      </c>
      <c r="C162" s="4" t="s">
        <v>599</v>
      </c>
      <c r="D162" s="4">
        <v>140.0</v>
      </c>
      <c r="E162" s="4">
        <v>26.0</v>
      </c>
      <c r="F162" s="4">
        <f t="shared" si="1"/>
        <v>7.5</v>
      </c>
      <c r="G162" s="4" t="s">
        <v>52</v>
      </c>
      <c r="H162" s="4"/>
    </row>
    <row r="163" ht="15.75" customHeight="1">
      <c r="A163" s="4" t="s">
        <v>122</v>
      </c>
      <c r="B163" s="4" t="s">
        <v>123</v>
      </c>
      <c r="C163" s="4" t="s">
        <v>602</v>
      </c>
      <c r="D163" s="4">
        <v>90.0</v>
      </c>
      <c r="E163" s="4">
        <v>17.0</v>
      </c>
      <c r="F163" s="4">
        <f t="shared" si="1"/>
        <v>7</v>
      </c>
      <c r="G163" s="4" t="s">
        <v>96</v>
      </c>
      <c r="H163" s="4"/>
    </row>
    <row r="164" ht="15.75" customHeight="1">
      <c r="A164" s="4" t="s">
        <v>122</v>
      </c>
      <c r="B164" s="4" t="s">
        <v>123</v>
      </c>
      <c r="C164" s="4" t="s">
        <v>606</v>
      </c>
      <c r="D164" s="4">
        <v>90.0</v>
      </c>
      <c r="E164" s="4">
        <v>17.0</v>
      </c>
      <c r="F164" s="4">
        <f t="shared" si="1"/>
        <v>7</v>
      </c>
      <c r="G164" s="4" t="s">
        <v>96</v>
      </c>
      <c r="H164" s="4"/>
    </row>
    <row r="165" ht="15.75" customHeight="1">
      <c r="A165" s="4" t="s">
        <v>122</v>
      </c>
      <c r="B165" s="4" t="s">
        <v>123</v>
      </c>
      <c r="C165" s="4" t="s">
        <v>608</v>
      </c>
      <c r="D165" s="4">
        <v>90.0</v>
      </c>
      <c r="E165" s="4">
        <v>19.0</v>
      </c>
      <c r="F165" s="4">
        <f t="shared" si="1"/>
        <v>6.4</v>
      </c>
      <c r="G165" s="4" t="s">
        <v>52</v>
      </c>
      <c r="H165" s="4"/>
    </row>
    <row r="166" ht="15.75" customHeight="1">
      <c r="A166" s="4" t="s">
        <v>122</v>
      </c>
      <c r="B166" s="4" t="s">
        <v>123</v>
      </c>
      <c r="C166" s="4" t="s">
        <v>612</v>
      </c>
      <c r="D166" s="4">
        <v>50.0</v>
      </c>
      <c r="E166" s="4">
        <v>10.0</v>
      </c>
      <c r="F166" s="4">
        <f t="shared" si="1"/>
        <v>6.3</v>
      </c>
      <c r="G166" s="4" t="s">
        <v>79</v>
      </c>
      <c r="H166" s="4"/>
    </row>
    <row r="167" ht="15.75" customHeight="1">
      <c r="A167" s="4" t="s">
        <v>122</v>
      </c>
      <c r="B167" s="4" t="s">
        <v>123</v>
      </c>
      <c r="C167" s="4" t="s">
        <v>615</v>
      </c>
      <c r="D167" s="4">
        <v>90.0</v>
      </c>
      <c r="E167" s="4">
        <v>20.0</v>
      </c>
      <c r="F167" s="4">
        <f t="shared" si="1"/>
        <v>6.1</v>
      </c>
      <c r="G167" s="4" t="s">
        <v>80</v>
      </c>
      <c r="H167" s="4"/>
    </row>
    <row r="168" ht="15.75" customHeight="1">
      <c r="A168" s="4" t="s">
        <v>122</v>
      </c>
      <c r="B168" s="4" t="s">
        <v>123</v>
      </c>
      <c r="C168" s="4" t="s">
        <v>620</v>
      </c>
      <c r="D168" s="4">
        <v>70.0</v>
      </c>
      <c r="E168" s="4">
        <v>19.0</v>
      </c>
      <c r="F168" s="4">
        <f t="shared" si="1"/>
        <v>4.9</v>
      </c>
      <c r="G168" s="4" t="s">
        <v>80</v>
      </c>
      <c r="H168" s="4"/>
    </row>
    <row r="169" ht="15.75" customHeight="1">
      <c r="A169" s="4" t="s">
        <v>122</v>
      </c>
      <c r="B169" s="4" t="s">
        <v>123</v>
      </c>
      <c r="C169" s="4" t="s">
        <v>624</v>
      </c>
      <c r="D169" s="4">
        <v>70.0</v>
      </c>
      <c r="E169" s="4">
        <v>20.0</v>
      </c>
      <c r="F169" s="4">
        <f t="shared" si="1"/>
        <v>4.7</v>
      </c>
      <c r="G169" s="4" t="s">
        <v>96</v>
      </c>
      <c r="H169" s="4"/>
    </row>
    <row r="170" ht="15.75" customHeight="1">
      <c r="A170" s="4" t="s">
        <v>122</v>
      </c>
      <c r="B170" s="4" t="s">
        <v>123</v>
      </c>
      <c r="C170" s="4" t="s">
        <v>628</v>
      </c>
      <c r="D170" s="4">
        <v>90.0</v>
      </c>
      <c r="E170" s="4">
        <v>27.0</v>
      </c>
      <c r="F170" s="4">
        <f t="shared" si="1"/>
        <v>4.6</v>
      </c>
      <c r="G170" s="4" t="s">
        <v>52</v>
      </c>
      <c r="H170" s="4"/>
    </row>
    <row r="171" ht="15.75" customHeight="1">
      <c r="A171" s="4" t="s">
        <v>122</v>
      </c>
      <c r="B171" s="4" t="s">
        <v>123</v>
      </c>
      <c r="C171" s="4" t="s">
        <v>631</v>
      </c>
      <c r="D171" s="4">
        <v>40.0</v>
      </c>
      <c r="E171" s="4">
        <v>11.0</v>
      </c>
      <c r="F171" s="4">
        <f t="shared" si="1"/>
        <v>4.6</v>
      </c>
      <c r="G171" s="4" t="s">
        <v>80</v>
      </c>
      <c r="H171" s="4"/>
    </row>
    <row r="172" ht="15.75" customHeight="1">
      <c r="A172" s="4" t="s">
        <v>122</v>
      </c>
      <c r="B172" s="4" t="s">
        <v>123</v>
      </c>
      <c r="C172" s="4" t="s">
        <v>634</v>
      </c>
      <c r="D172" s="4">
        <v>30.0</v>
      </c>
      <c r="E172" s="4">
        <v>9.0</v>
      </c>
      <c r="F172" s="4">
        <f t="shared" si="1"/>
        <v>4.2</v>
      </c>
      <c r="G172" s="4" t="s">
        <v>79</v>
      </c>
      <c r="H172" s="4"/>
    </row>
    <row r="173" ht="15.75" customHeight="1">
      <c r="A173" s="4" t="s">
        <v>122</v>
      </c>
      <c r="B173" s="4" t="s">
        <v>123</v>
      </c>
      <c r="C173" s="4" t="s">
        <v>637</v>
      </c>
      <c r="D173" s="4">
        <v>50.0</v>
      </c>
      <c r="E173" s="4">
        <v>16.0</v>
      </c>
      <c r="F173" s="4">
        <f t="shared" si="1"/>
        <v>4.1</v>
      </c>
      <c r="G173" s="4" t="s">
        <v>96</v>
      </c>
      <c r="H173" s="4"/>
    </row>
    <row r="174" ht="15.75" customHeight="1">
      <c r="A174" s="4" t="s">
        <v>122</v>
      </c>
      <c r="B174" s="4" t="s">
        <v>123</v>
      </c>
      <c r="C174" s="4" t="s">
        <v>640</v>
      </c>
      <c r="D174" s="4">
        <v>50.0</v>
      </c>
      <c r="E174" s="4">
        <v>18.0</v>
      </c>
      <c r="F174" s="4">
        <f t="shared" si="1"/>
        <v>3.7</v>
      </c>
      <c r="G174" s="4" t="s">
        <v>80</v>
      </c>
      <c r="H174" s="4"/>
    </row>
    <row r="175" ht="15.75" customHeight="1">
      <c r="A175" s="4" t="s">
        <v>122</v>
      </c>
      <c r="B175" s="4" t="s">
        <v>123</v>
      </c>
      <c r="C175" s="4" t="s">
        <v>644</v>
      </c>
      <c r="D175" s="4">
        <v>40.0</v>
      </c>
      <c r="E175" s="4">
        <v>15.0</v>
      </c>
      <c r="F175" s="4">
        <f t="shared" si="1"/>
        <v>3.5</v>
      </c>
      <c r="G175" s="4" t="s">
        <v>80</v>
      </c>
      <c r="H175" s="4"/>
    </row>
    <row r="176" ht="15.75" customHeight="1">
      <c r="A176" s="4" t="s">
        <v>122</v>
      </c>
      <c r="B176" s="4" t="s">
        <v>123</v>
      </c>
      <c r="C176" s="4" t="s">
        <v>647</v>
      </c>
      <c r="D176" s="4">
        <v>50.0</v>
      </c>
      <c r="E176" s="4">
        <v>20.0</v>
      </c>
      <c r="F176" s="4">
        <f t="shared" si="1"/>
        <v>3.4</v>
      </c>
      <c r="G176" s="4" t="s">
        <v>96</v>
      </c>
      <c r="H176" s="4"/>
    </row>
    <row r="177" ht="15.75" customHeight="1">
      <c r="A177" s="4" t="s">
        <v>122</v>
      </c>
      <c r="B177" s="4" t="s">
        <v>123</v>
      </c>
      <c r="C177" s="4" t="s">
        <v>651</v>
      </c>
      <c r="D177" s="4">
        <v>50.0</v>
      </c>
      <c r="E177" s="4">
        <v>22.0</v>
      </c>
      <c r="F177" s="4">
        <f t="shared" si="1"/>
        <v>3.1</v>
      </c>
      <c r="G177" s="4" t="s">
        <v>96</v>
      </c>
      <c r="H177" s="4"/>
    </row>
    <row r="178" ht="15.75" customHeight="1">
      <c r="A178" s="4" t="s">
        <v>122</v>
      </c>
      <c r="B178" s="4" t="s">
        <v>123</v>
      </c>
      <c r="C178" s="4" t="s">
        <v>655</v>
      </c>
      <c r="D178" s="4">
        <v>40.0</v>
      </c>
      <c r="E178" s="4">
        <v>21.0</v>
      </c>
      <c r="F178" s="4">
        <f t="shared" si="1"/>
        <v>2.6</v>
      </c>
      <c r="G178" s="4" t="s">
        <v>80</v>
      </c>
      <c r="H178" s="4"/>
    </row>
    <row r="179" ht="15.75" customHeight="1">
      <c r="A179" s="4" t="s">
        <v>122</v>
      </c>
      <c r="B179" s="4" t="s">
        <v>123</v>
      </c>
      <c r="C179" s="4" t="s">
        <v>658</v>
      </c>
      <c r="D179" s="4">
        <v>40.0</v>
      </c>
      <c r="E179" s="4">
        <v>23.0</v>
      </c>
      <c r="F179" s="4">
        <f t="shared" si="1"/>
        <v>2.4</v>
      </c>
      <c r="G179" s="4" t="s">
        <v>80</v>
      </c>
      <c r="H179" s="4"/>
    </row>
    <row r="180" ht="15.75" customHeight="1">
      <c r="A180" s="4" t="s">
        <v>122</v>
      </c>
      <c r="B180" s="4" t="s">
        <v>123</v>
      </c>
      <c r="C180" s="4" t="s">
        <v>661</v>
      </c>
      <c r="D180" s="4">
        <v>30.0</v>
      </c>
      <c r="E180" s="4">
        <v>1.0</v>
      </c>
      <c r="F180" s="4" t="str">
        <f t="shared" si="1"/>
        <v/>
      </c>
      <c r="G180" s="4" t="s">
        <v>52</v>
      </c>
      <c r="H180" s="4" t="s">
        <v>87</v>
      </c>
    </row>
    <row r="181" ht="15.75" customHeight="1">
      <c r="A181" s="4" t="s">
        <v>131</v>
      </c>
      <c r="B181" s="4" t="s">
        <v>81</v>
      </c>
      <c r="C181" s="4" t="s">
        <v>664</v>
      </c>
      <c r="D181" s="4">
        <v>2400.0</v>
      </c>
      <c r="E181" s="4">
        <v>28.0</v>
      </c>
      <c r="F181" s="4">
        <f t="shared" si="1"/>
        <v>119.6</v>
      </c>
      <c r="G181" s="4" t="s">
        <v>52</v>
      </c>
      <c r="H181" s="4"/>
    </row>
    <row r="182" ht="15.75" customHeight="1">
      <c r="A182" s="4" t="s">
        <v>131</v>
      </c>
      <c r="B182" s="4" t="s">
        <v>81</v>
      </c>
      <c r="C182" s="4" t="s">
        <v>667</v>
      </c>
      <c r="D182" s="4">
        <v>1300.0</v>
      </c>
      <c r="E182" s="4">
        <v>43.0</v>
      </c>
      <c r="F182" s="4">
        <f t="shared" si="1"/>
        <v>44</v>
      </c>
      <c r="G182" s="4" t="s">
        <v>52</v>
      </c>
      <c r="H182" s="4"/>
    </row>
    <row r="183" ht="15.75" customHeight="1">
      <c r="A183" s="4" t="s">
        <v>131</v>
      </c>
      <c r="B183" s="4" t="s">
        <v>81</v>
      </c>
      <c r="C183" s="4" t="s">
        <v>670</v>
      </c>
      <c r="D183" s="4">
        <v>720.0</v>
      </c>
      <c r="E183" s="4">
        <v>37.0</v>
      </c>
      <c r="F183" s="4">
        <f t="shared" si="1"/>
        <v>27.9</v>
      </c>
      <c r="G183" s="4" t="s">
        <v>52</v>
      </c>
      <c r="H183" s="4"/>
    </row>
    <row r="184" ht="15.75" customHeight="1">
      <c r="A184" s="4" t="s">
        <v>131</v>
      </c>
      <c r="B184" s="4" t="s">
        <v>81</v>
      </c>
      <c r="C184" s="4" t="s">
        <v>673</v>
      </c>
      <c r="D184" s="4">
        <v>390.0</v>
      </c>
      <c r="E184" s="4">
        <v>28.0</v>
      </c>
      <c r="F184" s="4">
        <f t="shared" si="1"/>
        <v>19.4</v>
      </c>
      <c r="G184" s="4" t="s">
        <v>80</v>
      </c>
      <c r="H184" s="4"/>
    </row>
    <row r="185" ht="15.75" customHeight="1">
      <c r="A185" s="4" t="s">
        <v>131</v>
      </c>
      <c r="B185" s="4" t="s">
        <v>81</v>
      </c>
      <c r="C185" s="4" t="s">
        <v>675</v>
      </c>
      <c r="D185" s="4">
        <v>390.0</v>
      </c>
      <c r="E185" s="4">
        <v>31.0</v>
      </c>
      <c r="F185" s="4">
        <f t="shared" si="1"/>
        <v>17.7</v>
      </c>
      <c r="G185" s="4" t="s">
        <v>52</v>
      </c>
      <c r="H185" s="4"/>
    </row>
    <row r="186" ht="15.75" customHeight="1">
      <c r="A186" s="4" t="s">
        <v>131</v>
      </c>
      <c r="B186" s="4" t="s">
        <v>81</v>
      </c>
      <c r="C186" s="4" t="s">
        <v>679</v>
      </c>
      <c r="D186" s="4">
        <v>210.0</v>
      </c>
      <c r="E186" s="4">
        <v>41.0</v>
      </c>
      <c r="F186" s="4">
        <f t="shared" si="1"/>
        <v>7.4</v>
      </c>
      <c r="G186" s="4" t="s">
        <v>52</v>
      </c>
      <c r="H186" s="4"/>
    </row>
    <row r="187" ht="15.75" customHeight="1">
      <c r="A187" s="4" t="s">
        <v>131</v>
      </c>
      <c r="B187" s="4" t="s">
        <v>81</v>
      </c>
      <c r="C187" s="4" t="s">
        <v>682</v>
      </c>
      <c r="D187" s="4">
        <v>70.0</v>
      </c>
      <c r="E187" s="4">
        <v>23.0</v>
      </c>
      <c r="F187" s="4">
        <f t="shared" si="1"/>
        <v>4.2</v>
      </c>
      <c r="G187" s="4" t="s">
        <v>52</v>
      </c>
      <c r="H187" s="4"/>
    </row>
    <row r="188" ht="15.75" customHeight="1">
      <c r="A188" s="4" t="s">
        <v>131</v>
      </c>
      <c r="B188" s="4" t="s">
        <v>81</v>
      </c>
      <c r="C188" s="4" t="s">
        <v>685</v>
      </c>
      <c r="D188" s="4">
        <v>40.0</v>
      </c>
      <c r="E188" s="4">
        <v>16.0</v>
      </c>
      <c r="F188" s="4">
        <f t="shared" si="1"/>
        <v>3.3</v>
      </c>
      <c r="G188" s="4" t="s">
        <v>52</v>
      </c>
      <c r="H188" s="4"/>
    </row>
    <row r="189" ht="15.75" customHeight="1">
      <c r="A189" s="4" t="s">
        <v>131</v>
      </c>
      <c r="B189" s="4" t="s">
        <v>81</v>
      </c>
      <c r="C189" s="4" t="s">
        <v>687</v>
      </c>
      <c r="D189" s="4">
        <v>50.0</v>
      </c>
      <c r="E189" s="4">
        <v>23.0</v>
      </c>
      <c r="F189" s="4">
        <f t="shared" si="1"/>
        <v>3</v>
      </c>
      <c r="G189" s="4" t="s">
        <v>80</v>
      </c>
      <c r="H189" s="4"/>
    </row>
    <row r="190" ht="15.75" customHeight="1">
      <c r="A190" s="4" t="s">
        <v>131</v>
      </c>
      <c r="B190" s="4" t="s">
        <v>81</v>
      </c>
      <c r="C190" s="4" t="s">
        <v>690</v>
      </c>
      <c r="D190" s="4">
        <v>70.0</v>
      </c>
      <c r="E190" s="4">
        <v>36.0</v>
      </c>
      <c r="F190" s="4">
        <f t="shared" si="1"/>
        <v>2.8</v>
      </c>
      <c r="G190" s="4" t="s">
        <v>52</v>
      </c>
      <c r="H190" s="4"/>
    </row>
    <row r="191" ht="15.75" customHeight="1">
      <c r="A191" s="4" t="s">
        <v>131</v>
      </c>
      <c r="B191" s="4" t="s">
        <v>81</v>
      </c>
      <c r="C191" s="4" t="s">
        <v>693</v>
      </c>
      <c r="D191" s="4">
        <v>50.0</v>
      </c>
      <c r="E191" s="4">
        <v>28.0</v>
      </c>
      <c r="F191" s="4">
        <f t="shared" si="1"/>
        <v>2.5</v>
      </c>
      <c r="G191" s="4" t="s">
        <v>104</v>
      </c>
      <c r="H191" s="4"/>
    </row>
    <row r="192" ht="15.75" customHeight="1">
      <c r="A192" s="4" t="s">
        <v>155</v>
      </c>
      <c r="B192" s="4" t="s">
        <v>111</v>
      </c>
      <c r="C192" s="4" t="s">
        <v>696</v>
      </c>
      <c r="D192" s="4">
        <v>1000.0</v>
      </c>
      <c r="E192" s="4">
        <v>31.0</v>
      </c>
      <c r="F192" s="4">
        <f t="shared" si="1"/>
        <v>45.5</v>
      </c>
      <c r="G192" s="4" t="s">
        <v>52</v>
      </c>
      <c r="H192" s="4"/>
    </row>
    <row r="193" ht="15.75" customHeight="1">
      <c r="A193" s="4" t="s">
        <v>155</v>
      </c>
      <c r="B193" s="4" t="s">
        <v>111</v>
      </c>
      <c r="C193" s="4" t="s">
        <v>699</v>
      </c>
      <c r="D193" s="4">
        <v>390.0</v>
      </c>
      <c r="E193" s="6">
        <v>13.0</v>
      </c>
      <c r="F193" s="4">
        <f t="shared" si="1"/>
        <v>38.8</v>
      </c>
      <c r="G193" s="4" t="s">
        <v>52</v>
      </c>
      <c r="H193" s="4"/>
    </row>
    <row r="194" ht="15.75" customHeight="1">
      <c r="A194" s="4" t="s">
        <v>155</v>
      </c>
      <c r="B194" s="4" t="s">
        <v>111</v>
      </c>
      <c r="C194" s="4" t="s">
        <v>702</v>
      </c>
      <c r="D194" s="4">
        <v>320.0</v>
      </c>
      <c r="E194" s="6">
        <v>12.0</v>
      </c>
      <c r="F194" s="4">
        <f t="shared" si="1"/>
        <v>34.2</v>
      </c>
      <c r="G194" s="4" t="s">
        <v>52</v>
      </c>
      <c r="H194" s="4"/>
    </row>
    <row r="195" ht="15.75" customHeight="1">
      <c r="A195" s="4" t="s">
        <v>155</v>
      </c>
      <c r="B195" s="4" t="s">
        <v>111</v>
      </c>
      <c r="C195" s="4" t="s">
        <v>704</v>
      </c>
      <c r="D195" s="4">
        <v>70.0</v>
      </c>
      <c r="E195" s="4">
        <v>4.0</v>
      </c>
      <c r="F195" s="4">
        <f t="shared" si="1"/>
        <v>20.1</v>
      </c>
      <c r="G195" s="4" t="s">
        <v>52</v>
      </c>
      <c r="H195" s="4"/>
    </row>
    <row r="196" ht="15.75" customHeight="1">
      <c r="A196" s="4" t="s">
        <v>155</v>
      </c>
      <c r="B196" s="4" t="s">
        <v>111</v>
      </c>
      <c r="C196" s="4" t="s">
        <v>707</v>
      </c>
      <c r="D196" s="4">
        <v>40.0</v>
      </c>
      <c r="E196" s="4">
        <v>3.0</v>
      </c>
      <c r="F196" s="4">
        <f t="shared" si="1"/>
        <v>14.9</v>
      </c>
      <c r="G196" s="4" t="s">
        <v>52</v>
      </c>
      <c r="H196" s="4"/>
    </row>
    <row r="197" ht="15.75" customHeight="1">
      <c r="A197" s="4" t="s">
        <v>155</v>
      </c>
      <c r="B197" s="4" t="s">
        <v>111</v>
      </c>
      <c r="C197" s="4" t="s">
        <v>709</v>
      </c>
      <c r="D197" s="4">
        <v>110.0</v>
      </c>
      <c r="E197" s="4">
        <v>10.0</v>
      </c>
      <c r="F197" s="4">
        <f t="shared" si="1"/>
        <v>13.8</v>
      </c>
      <c r="G197" s="4" t="s">
        <v>52</v>
      </c>
      <c r="H197" s="4"/>
    </row>
    <row r="198" ht="15.75" customHeight="1">
      <c r="A198" s="4" t="s">
        <v>155</v>
      </c>
      <c r="B198" s="4" t="s">
        <v>111</v>
      </c>
      <c r="C198" s="4" t="s">
        <v>712</v>
      </c>
      <c r="D198" s="4">
        <v>210.0</v>
      </c>
      <c r="E198" s="4">
        <v>21.0</v>
      </c>
      <c r="F198" s="4">
        <f t="shared" si="1"/>
        <v>13.6</v>
      </c>
      <c r="G198" s="4" t="s">
        <v>52</v>
      </c>
      <c r="H198" s="4"/>
    </row>
    <row r="199" ht="15.75" customHeight="1">
      <c r="A199" s="4" t="s">
        <v>155</v>
      </c>
      <c r="B199" s="4" t="s">
        <v>111</v>
      </c>
      <c r="C199" s="4" t="s">
        <v>714</v>
      </c>
      <c r="D199" s="4">
        <v>110.0</v>
      </c>
      <c r="E199" s="4">
        <v>25.0</v>
      </c>
      <c r="F199" s="4">
        <f t="shared" si="1"/>
        <v>6.1</v>
      </c>
      <c r="G199" s="4" t="s">
        <v>52</v>
      </c>
      <c r="H199" s="4"/>
    </row>
    <row r="200" ht="15.75" customHeight="1">
      <c r="A200" s="4" t="s">
        <v>155</v>
      </c>
      <c r="B200" s="4" t="s">
        <v>111</v>
      </c>
      <c r="C200" s="4" t="s">
        <v>717</v>
      </c>
      <c r="D200" s="4">
        <v>50.0</v>
      </c>
      <c r="E200" s="4">
        <v>13.0</v>
      </c>
      <c r="F200" s="4">
        <f t="shared" si="1"/>
        <v>5</v>
      </c>
      <c r="G200" s="4" t="s">
        <v>80</v>
      </c>
      <c r="H200" s="4"/>
    </row>
    <row r="201" ht="15.75" customHeight="1">
      <c r="A201" s="4" t="s">
        <v>155</v>
      </c>
      <c r="B201" s="4" t="s">
        <v>111</v>
      </c>
      <c r="C201" s="4" t="s">
        <v>719</v>
      </c>
      <c r="D201" s="4">
        <v>50.0</v>
      </c>
      <c r="E201" s="4">
        <v>15.0</v>
      </c>
      <c r="F201" s="4">
        <f t="shared" si="1"/>
        <v>4.4</v>
      </c>
      <c r="G201" s="4" t="s">
        <v>52</v>
      </c>
      <c r="H201" s="4"/>
    </row>
    <row r="202" ht="15.75" customHeight="1">
      <c r="A202" s="4" t="s">
        <v>155</v>
      </c>
      <c r="B202" s="4" t="s">
        <v>111</v>
      </c>
      <c r="C202" s="4" t="s">
        <v>722</v>
      </c>
      <c r="D202" s="4">
        <v>70.0</v>
      </c>
      <c r="E202" s="4">
        <v>30.0</v>
      </c>
      <c r="F202" s="4">
        <f t="shared" si="1"/>
        <v>3.3</v>
      </c>
      <c r="G202" s="4" t="s">
        <v>52</v>
      </c>
      <c r="H202" s="4"/>
    </row>
    <row r="203" ht="15.75" customHeight="1">
      <c r="A203" s="4" t="s">
        <v>155</v>
      </c>
      <c r="B203" s="4" t="s">
        <v>111</v>
      </c>
      <c r="C203" s="4" t="s">
        <v>725</v>
      </c>
      <c r="D203" s="4">
        <v>50.0</v>
      </c>
      <c r="E203" s="4">
        <v>22.0</v>
      </c>
      <c r="F203" s="4">
        <f t="shared" si="1"/>
        <v>3.1</v>
      </c>
      <c r="G203" s="4" t="s">
        <v>52</v>
      </c>
      <c r="H203" s="4"/>
    </row>
    <row r="204" ht="15.75" customHeight="1">
      <c r="A204" s="4" t="s">
        <v>155</v>
      </c>
      <c r="B204" s="4" t="s">
        <v>111</v>
      </c>
      <c r="C204" s="4" t="s">
        <v>728</v>
      </c>
      <c r="D204" s="4">
        <v>50.0</v>
      </c>
      <c r="E204" s="4">
        <v>32.0</v>
      </c>
      <c r="F204" s="4">
        <f t="shared" si="1"/>
        <v>2.2</v>
      </c>
      <c r="G204" s="4" t="s">
        <v>52</v>
      </c>
      <c r="H204" s="4"/>
    </row>
    <row r="205" ht="15.75" customHeight="1">
      <c r="A205" s="4" t="s">
        <v>155</v>
      </c>
      <c r="B205" s="4" t="s">
        <v>111</v>
      </c>
      <c r="C205" s="4" t="s">
        <v>730</v>
      </c>
      <c r="D205" s="4">
        <v>30.0</v>
      </c>
      <c r="E205" s="4">
        <v>39.0</v>
      </c>
      <c r="F205" s="4">
        <f t="shared" si="1"/>
        <v>1.1</v>
      </c>
      <c r="G205" s="4" t="s">
        <v>52</v>
      </c>
      <c r="H205" s="4"/>
    </row>
    <row r="206" ht="15.75" customHeight="1">
      <c r="A206" s="4" t="s">
        <v>232</v>
      </c>
      <c r="B206" s="4" t="s">
        <v>61</v>
      </c>
      <c r="C206" s="4" t="s">
        <v>734</v>
      </c>
      <c r="D206" s="4">
        <v>70.0</v>
      </c>
      <c r="E206" s="4">
        <v>8.0</v>
      </c>
      <c r="F206" s="4">
        <f t="shared" si="1"/>
        <v>10.8</v>
      </c>
      <c r="G206" s="4" t="s">
        <v>52</v>
      </c>
      <c r="H206" s="4"/>
    </row>
    <row r="207" ht="15.75" customHeight="1">
      <c r="A207" s="4" t="s">
        <v>232</v>
      </c>
      <c r="B207" s="4" t="s">
        <v>61</v>
      </c>
      <c r="C207" s="4" t="s">
        <v>737</v>
      </c>
      <c r="D207" s="4">
        <v>90.0</v>
      </c>
      <c r="E207" s="4">
        <v>25.0</v>
      </c>
      <c r="F207" s="4">
        <f t="shared" si="1"/>
        <v>5</v>
      </c>
      <c r="G207" s="4" t="s">
        <v>52</v>
      </c>
      <c r="H207" s="4"/>
    </row>
    <row r="208" ht="15.75" customHeight="1">
      <c r="A208" s="4" t="s">
        <v>232</v>
      </c>
      <c r="B208" s="4" t="s">
        <v>61</v>
      </c>
      <c r="C208" s="4" t="s">
        <v>740</v>
      </c>
      <c r="D208" s="4">
        <v>70.0</v>
      </c>
      <c r="E208" s="4">
        <v>20.0</v>
      </c>
      <c r="F208" s="4">
        <f t="shared" si="1"/>
        <v>4.7</v>
      </c>
      <c r="G208" s="4" t="s">
        <v>52</v>
      </c>
      <c r="H208" s="4"/>
    </row>
    <row r="209" ht="15.75" customHeight="1">
      <c r="A209" s="4" t="s">
        <v>232</v>
      </c>
      <c r="B209" s="4" t="s">
        <v>61</v>
      </c>
      <c r="C209" s="4" t="s">
        <v>743</v>
      </c>
      <c r="D209" s="4">
        <v>70.0</v>
      </c>
      <c r="E209" s="4">
        <v>23.0</v>
      </c>
      <c r="F209" s="4">
        <f t="shared" si="1"/>
        <v>4.2</v>
      </c>
      <c r="G209" s="4" t="s">
        <v>52</v>
      </c>
      <c r="H209" s="4"/>
    </row>
    <row r="210" ht="15.75" customHeight="1">
      <c r="A210" s="4" t="s">
        <v>232</v>
      </c>
      <c r="B210" s="4" t="s">
        <v>61</v>
      </c>
      <c r="C210" s="4" t="s">
        <v>746</v>
      </c>
      <c r="D210" s="4">
        <v>70.0</v>
      </c>
      <c r="E210" s="4">
        <v>24.0</v>
      </c>
      <c r="F210" s="4">
        <f t="shared" si="1"/>
        <v>4</v>
      </c>
      <c r="G210" s="4" t="s">
        <v>52</v>
      </c>
      <c r="H210" s="4"/>
    </row>
    <row r="211" ht="15.75" customHeight="1">
      <c r="A211" s="4" t="s">
        <v>232</v>
      </c>
      <c r="B211" s="4" t="s">
        <v>61</v>
      </c>
      <c r="C211" s="4" t="s">
        <v>73</v>
      </c>
      <c r="D211" s="4">
        <v>40.0</v>
      </c>
      <c r="E211" s="4">
        <v>25.0</v>
      </c>
      <c r="F211" s="4">
        <f t="shared" si="1"/>
        <v>2.2</v>
      </c>
      <c r="G211" s="4" t="s">
        <v>52</v>
      </c>
      <c r="H211" s="4"/>
    </row>
    <row r="212" ht="15.75" customHeight="1">
      <c r="A212" s="4" t="s">
        <v>232</v>
      </c>
      <c r="B212" s="4" t="s">
        <v>61</v>
      </c>
      <c r="C212" s="4" t="s">
        <v>66</v>
      </c>
      <c r="D212" s="4">
        <v>30.0</v>
      </c>
      <c r="E212" s="4">
        <v>21.0</v>
      </c>
      <c r="F212" s="4">
        <f t="shared" si="1"/>
        <v>1.9</v>
      </c>
      <c r="G212" s="4" t="s">
        <v>52</v>
      </c>
      <c r="H212" s="4"/>
    </row>
    <row r="213" ht="15.75" customHeight="1">
      <c r="A213" s="4" t="s">
        <v>232</v>
      </c>
      <c r="B213" s="4" t="s">
        <v>61</v>
      </c>
      <c r="C213" s="4" t="s">
        <v>751</v>
      </c>
      <c r="D213" s="4">
        <v>30.0</v>
      </c>
      <c r="E213" s="4">
        <v>22.0</v>
      </c>
      <c r="F213" s="4">
        <f t="shared" si="1"/>
        <v>1.9</v>
      </c>
      <c r="G213" s="4" t="s">
        <v>52</v>
      </c>
      <c r="H213" s="4"/>
    </row>
    <row r="214" ht="15.75" customHeight="1">
      <c r="A214" s="4" t="s">
        <v>232</v>
      </c>
      <c r="B214" s="4" t="s">
        <v>61</v>
      </c>
      <c r="C214" s="4" t="s">
        <v>754</v>
      </c>
      <c r="D214" s="4">
        <v>30.0</v>
      </c>
      <c r="E214" s="4">
        <v>23.0</v>
      </c>
      <c r="F214" s="4">
        <f t="shared" si="1"/>
        <v>1.8</v>
      </c>
      <c r="G214" s="4" t="s">
        <v>52</v>
      </c>
      <c r="H214" s="4"/>
    </row>
    <row r="215" ht="15.75" customHeight="1">
      <c r="A215" s="4" t="s">
        <v>232</v>
      </c>
      <c r="B215" s="4" t="s">
        <v>61</v>
      </c>
      <c r="C215" s="4" t="s">
        <v>756</v>
      </c>
      <c r="D215" s="4">
        <v>30.0</v>
      </c>
      <c r="E215" s="4">
        <v>33.0</v>
      </c>
      <c r="F215" s="4">
        <f t="shared" si="1"/>
        <v>1.3</v>
      </c>
      <c r="G215" s="4" t="s">
        <v>52</v>
      </c>
      <c r="H215" s="4"/>
    </row>
    <row r="216" ht="15.75" customHeight="1">
      <c r="A216" s="4" t="s">
        <v>232</v>
      </c>
      <c r="B216" s="4" t="s">
        <v>61</v>
      </c>
      <c r="C216" s="4" t="s">
        <v>759</v>
      </c>
      <c r="D216" s="4">
        <v>30.0</v>
      </c>
      <c r="E216" s="4">
        <v>0.0</v>
      </c>
      <c r="F216" s="4" t="str">
        <f t="shared" si="1"/>
        <v/>
      </c>
      <c r="G216" s="4" t="s">
        <v>52</v>
      </c>
      <c r="H216" s="4" t="s">
        <v>87</v>
      </c>
    </row>
    <row r="217" ht="15.75" customHeight="1">
      <c r="A217" s="4" t="s">
        <v>97</v>
      </c>
      <c r="B217" s="4" t="s">
        <v>98</v>
      </c>
      <c r="C217" s="4" t="s">
        <v>761</v>
      </c>
      <c r="D217" s="4">
        <v>6600.0</v>
      </c>
      <c r="E217" s="4">
        <v>26.0</v>
      </c>
      <c r="F217" s="4">
        <f t="shared" si="1"/>
        <v>351.6</v>
      </c>
      <c r="G217" s="4" t="s">
        <v>52</v>
      </c>
      <c r="H217" s="4"/>
    </row>
    <row r="218" ht="15.75" customHeight="1">
      <c r="A218" s="4" t="s">
        <v>97</v>
      </c>
      <c r="B218" s="4" t="s">
        <v>98</v>
      </c>
      <c r="C218" s="4" t="s">
        <v>764</v>
      </c>
      <c r="D218" s="4">
        <v>5400.0</v>
      </c>
      <c r="E218" s="4">
        <v>37.0</v>
      </c>
      <c r="F218" s="4">
        <f t="shared" si="1"/>
        <v>209.4</v>
      </c>
      <c r="G218" s="4" t="s">
        <v>104</v>
      </c>
      <c r="H218" s="4"/>
    </row>
    <row r="219" ht="15.75" customHeight="1">
      <c r="A219" s="4" t="s">
        <v>97</v>
      </c>
      <c r="B219" s="4" t="s">
        <v>98</v>
      </c>
      <c r="C219" s="4" t="s">
        <v>767</v>
      </c>
      <c r="D219" s="4">
        <v>1300.0</v>
      </c>
      <c r="E219" s="4">
        <v>21.0</v>
      </c>
      <c r="F219" s="4">
        <f t="shared" si="1"/>
        <v>83.9</v>
      </c>
      <c r="G219" s="4" t="s">
        <v>52</v>
      </c>
      <c r="H219" s="4"/>
    </row>
    <row r="220" ht="15.75" customHeight="1">
      <c r="A220" s="4" t="s">
        <v>97</v>
      </c>
      <c r="B220" s="4" t="s">
        <v>98</v>
      </c>
      <c r="C220" s="4" t="s">
        <v>770</v>
      </c>
      <c r="D220" s="4">
        <v>720.0</v>
      </c>
      <c r="E220" s="4">
        <v>22.0</v>
      </c>
      <c r="F220" s="4">
        <f t="shared" si="1"/>
        <v>44.6</v>
      </c>
      <c r="G220" s="4" t="s">
        <v>79</v>
      </c>
      <c r="H220" s="4"/>
    </row>
    <row r="221" ht="15.75" customHeight="1">
      <c r="A221" s="4" t="s">
        <v>97</v>
      </c>
      <c r="B221" s="4" t="s">
        <v>98</v>
      </c>
      <c r="C221" s="4" t="s">
        <v>771</v>
      </c>
      <c r="D221" s="4">
        <v>170.0</v>
      </c>
      <c r="E221" s="4">
        <v>6.0</v>
      </c>
      <c r="F221" s="4">
        <f t="shared" si="1"/>
        <v>33.9</v>
      </c>
      <c r="G221" s="4" t="s">
        <v>96</v>
      </c>
      <c r="H221" s="4"/>
    </row>
    <row r="222" ht="15.75" customHeight="1">
      <c r="A222" s="4" t="s">
        <v>97</v>
      </c>
      <c r="B222" s="4" t="s">
        <v>98</v>
      </c>
      <c r="C222" s="4" t="s">
        <v>772</v>
      </c>
      <c r="D222" s="4">
        <v>480.0</v>
      </c>
      <c r="E222" s="4">
        <v>29.0</v>
      </c>
      <c r="F222" s="4">
        <f t="shared" si="1"/>
        <v>23.2</v>
      </c>
      <c r="G222" s="4" t="s">
        <v>52</v>
      </c>
      <c r="H222" s="4"/>
    </row>
    <row r="223" ht="15.75" customHeight="1">
      <c r="A223" s="4" t="s">
        <v>97</v>
      </c>
      <c r="B223" s="4" t="s">
        <v>98</v>
      </c>
      <c r="C223" s="4" t="s">
        <v>773</v>
      </c>
      <c r="D223" s="4">
        <v>480.0</v>
      </c>
      <c r="E223" s="4">
        <v>31.0</v>
      </c>
      <c r="F223" s="4">
        <f t="shared" si="1"/>
        <v>21.8</v>
      </c>
      <c r="G223" s="4" t="s">
        <v>96</v>
      </c>
      <c r="H223" s="4"/>
    </row>
    <row r="224" ht="15.75" customHeight="1">
      <c r="A224" s="4" t="s">
        <v>97</v>
      </c>
      <c r="B224" s="4" t="s">
        <v>98</v>
      </c>
      <c r="C224" s="4" t="s">
        <v>774</v>
      </c>
      <c r="D224" s="4">
        <v>70.0</v>
      </c>
      <c r="E224" s="4">
        <v>4.0</v>
      </c>
      <c r="F224" s="4">
        <f t="shared" si="1"/>
        <v>20.1</v>
      </c>
      <c r="G224" s="4" t="s">
        <v>80</v>
      </c>
      <c r="H224" s="4"/>
    </row>
    <row r="225" ht="15.75" customHeight="1">
      <c r="A225" s="4" t="s">
        <v>97</v>
      </c>
      <c r="B225" s="4" t="s">
        <v>98</v>
      </c>
      <c r="C225" s="4" t="s">
        <v>775</v>
      </c>
      <c r="D225" s="4">
        <v>260.0</v>
      </c>
      <c r="E225" s="4">
        <v>19.0</v>
      </c>
      <c r="F225" s="4">
        <f t="shared" si="1"/>
        <v>18.4</v>
      </c>
      <c r="G225" s="4" t="s">
        <v>52</v>
      </c>
      <c r="H225" s="4"/>
    </row>
    <row r="226" ht="15.75" customHeight="1">
      <c r="A226" s="4" t="s">
        <v>97</v>
      </c>
      <c r="B226" s="4" t="s">
        <v>98</v>
      </c>
      <c r="C226" s="4" t="s">
        <v>776</v>
      </c>
      <c r="D226" s="4">
        <v>320.0</v>
      </c>
      <c r="E226" s="4">
        <v>25.0</v>
      </c>
      <c r="F226" s="4">
        <f t="shared" si="1"/>
        <v>17.7</v>
      </c>
      <c r="G226" s="4" t="s">
        <v>80</v>
      </c>
      <c r="H226" s="4"/>
    </row>
    <row r="227" ht="15.75" customHeight="1">
      <c r="A227" s="4" t="s">
        <v>97</v>
      </c>
      <c r="B227" s="4" t="s">
        <v>98</v>
      </c>
      <c r="C227" s="4" t="s">
        <v>777</v>
      </c>
      <c r="D227" s="4">
        <v>260.0</v>
      </c>
      <c r="E227" s="4">
        <v>22.0</v>
      </c>
      <c r="F227" s="4">
        <f t="shared" si="1"/>
        <v>16.1</v>
      </c>
      <c r="G227" s="4" t="s">
        <v>96</v>
      </c>
      <c r="H227" s="4"/>
    </row>
    <row r="228" ht="15.75" customHeight="1">
      <c r="A228" s="4" t="s">
        <v>97</v>
      </c>
      <c r="B228" s="4" t="s">
        <v>98</v>
      </c>
      <c r="C228" s="4" t="s">
        <v>778</v>
      </c>
      <c r="D228" s="4">
        <v>170.0</v>
      </c>
      <c r="E228" s="4">
        <v>14.0</v>
      </c>
      <c r="F228" s="4">
        <f t="shared" si="1"/>
        <v>15.8</v>
      </c>
      <c r="G228" s="4" t="s">
        <v>96</v>
      </c>
      <c r="H228" s="4"/>
    </row>
    <row r="229" ht="15.75" customHeight="1">
      <c r="A229" s="4" t="s">
        <v>97</v>
      </c>
      <c r="B229" s="4" t="s">
        <v>98</v>
      </c>
      <c r="C229" s="4" t="s">
        <v>779</v>
      </c>
      <c r="D229" s="4">
        <v>210.0</v>
      </c>
      <c r="E229" s="4">
        <v>19.0</v>
      </c>
      <c r="F229" s="4">
        <f t="shared" si="1"/>
        <v>14.8</v>
      </c>
      <c r="G229" s="4" t="s">
        <v>80</v>
      </c>
      <c r="H229" s="4"/>
    </row>
    <row r="230" ht="15.75" customHeight="1">
      <c r="A230" s="4" t="s">
        <v>97</v>
      </c>
      <c r="B230" s="4" t="s">
        <v>98</v>
      </c>
      <c r="C230" s="4" t="s">
        <v>780</v>
      </c>
      <c r="D230" s="4">
        <v>210.0</v>
      </c>
      <c r="E230" s="4">
        <v>19.0</v>
      </c>
      <c r="F230" s="4">
        <f t="shared" si="1"/>
        <v>14.8</v>
      </c>
      <c r="G230" s="4" t="s">
        <v>96</v>
      </c>
      <c r="H230" s="4"/>
    </row>
    <row r="231" ht="15.75" customHeight="1">
      <c r="A231" s="4" t="s">
        <v>97</v>
      </c>
      <c r="B231" s="4" t="s">
        <v>98</v>
      </c>
      <c r="C231" s="4" t="s">
        <v>781</v>
      </c>
      <c r="D231" s="4">
        <v>170.0</v>
      </c>
      <c r="E231" s="4">
        <v>18.0</v>
      </c>
      <c r="F231" s="4">
        <f t="shared" si="1"/>
        <v>12.6</v>
      </c>
      <c r="G231" s="4" t="s">
        <v>96</v>
      </c>
      <c r="H231" s="4"/>
    </row>
    <row r="232" ht="15.75" customHeight="1">
      <c r="A232" s="4" t="s">
        <v>97</v>
      </c>
      <c r="B232" s="4" t="s">
        <v>98</v>
      </c>
      <c r="C232" s="4" t="s">
        <v>782</v>
      </c>
      <c r="D232" s="4">
        <v>140.0</v>
      </c>
      <c r="E232" s="4">
        <v>15.0</v>
      </c>
      <c r="F232" s="4">
        <f t="shared" si="1"/>
        <v>12.2</v>
      </c>
      <c r="G232" s="4" t="s">
        <v>80</v>
      </c>
      <c r="H232" s="4"/>
    </row>
    <row r="233" ht="15.75" customHeight="1">
      <c r="A233" s="4" t="s">
        <v>97</v>
      </c>
      <c r="B233" s="4" t="s">
        <v>98</v>
      </c>
      <c r="C233" s="4" t="s">
        <v>783</v>
      </c>
      <c r="D233" s="4">
        <v>90.0</v>
      </c>
      <c r="E233" s="4">
        <v>10.0</v>
      </c>
      <c r="F233" s="4">
        <f t="shared" si="1"/>
        <v>11.3</v>
      </c>
      <c r="G233" s="4" t="s">
        <v>80</v>
      </c>
      <c r="H233" s="4"/>
    </row>
    <row r="234" ht="15.75" customHeight="1">
      <c r="A234" s="4" t="s">
        <v>97</v>
      </c>
      <c r="B234" s="4" t="s">
        <v>98</v>
      </c>
      <c r="C234" s="4" t="s">
        <v>784</v>
      </c>
      <c r="D234" s="4">
        <v>110.0</v>
      </c>
      <c r="E234" s="4">
        <v>14.0</v>
      </c>
      <c r="F234" s="4">
        <f t="shared" si="1"/>
        <v>10.2</v>
      </c>
      <c r="G234" s="4" t="s">
        <v>96</v>
      </c>
      <c r="H234" s="4"/>
    </row>
    <row r="235" ht="15.75" customHeight="1">
      <c r="A235" s="4" t="s">
        <v>97</v>
      </c>
      <c r="B235" s="4" t="s">
        <v>98</v>
      </c>
      <c r="C235" s="4" t="s">
        <v>785</v>
      </c>
      <c r="D235" s="4">
        <v>70.0</v>
      </c>
      <c r="E235" s="4">
        <v>10.0</v>
      </c>
      <c r="F235" s="4">
        <f t="shared" si="1"/>
        <v>8.8</v>
      </c>
      <c r="G235" s="4" t="s">
        <v>80</v>
      </c>
      <c r="H235" s="4"/>
    </row>
    <row r="236" ht="15.75" customHeight="1">
      <c r="A236" s="4" t="s">
        <v>97</v>
      </c>
      <c r="B236" s="4" t="s">
        <v>98</v>
      </c>
      <c r="C236" s="4" t="s">
        <v>786</v>
      </c>
      <c r="D236" s="4">
        <v>70.0</v>
      </c>
      <c r="E236" s="4">
        <v>10.0</v>
      </c>
      <c r="F236" s="4">
        <f t="shared" si="1"/>
        <v>8.8</v>
      </c>
      <c r="G236" s="4" t="s">
        <v>80</v>
      </c>
      <c r="H236" s="4"/>
    </row>
    <row r="237" ht="15.75" customHeight="1">
      <c r="A237" s="4" t="s">
        <v>97</v>
      </c>
      <c r="B237" s="4" t="s">
        <v>98</v>
      </c>
      <c r="C237" s="4" t="s">
        <v>787</v>
      </c>
      <c r="D237" s="4">
        <v>140.0</v>
      </c>
      <c r="E237" s="4">
        <v>24.0</v>
      </c>
      <c r="F237" s="4">
        <f t="shared" si="1"/>
        <v>8</v>
      </c>
      <c r="G237" s="4" t="s">
        <v>79</v>
      </c>
      <c r="H237" s="4"/>
    </row>
    <row r="238" ht="15.75" customHeight="1">
      <c r="A238" s="4" t="s">
        <v>97</v>
      </c>
      <c r="B238" s="4" t="s">
        <v>98</v>
      </c>
      <c r="C238" s="4" t="s">
        <v>788</v>
      </c>
      <c r="D238" s="4">
        <v>40.0</v>
      </c>
      <c r="E238" s="4">
        <v>6.0</v>
      </c>
      <c r="F238" s="4">
        <f t="shared" si="1"/>
        <v>8</v>
      </c>
      <c r="G238" s="4" t="s">
        <v>79</v>
      </c>
      <c r="H238" s="4"/>
    </row>
    <row r="239" ht="15.75" customHeight="1">
      <c r="A239" s="4" t="s">
        <v>97</v>
      </c>
      <c r="B239" s="4" t="s">
        <v>98</v>
      </c>
      <c r="C239" s="4" t="s">
        <v>789</v>
      </c>
      <c r="D239" s="4">
        <v>170.0</v>
      </c>
      <c r="E239" s="4">
        <v>31.0</v>
      </c>
      <c r="F239" s="4">
        <f t="shared" si="1"/>
        <v>7.7</v>
      </c>
      <c r="G239" s="4" t="s">
        <v>80</v>
      </c>
      <c r="H239" s="4"/>
    </row>
    <row r="240" ht="15.75" customHeight="1">
      <c r="A240" s="4" t="s">
        <v>97</v>
      </c>
      <c r="B240" s="4" t="s">
        <v>98</v>
      </c>
      <c r="C240" s="4" t="s">
        <v>790</v>
      </c>
      <c r="D240" s="4">
        <v>110.0</v>
      </c>
      <c r="E240" s="4">
        <v>20.0</v>
      </c>
      <c r="F240" s="4">
        <f t="shared" si="1"/>
        <v>7.4</v>
      </c>
      <c r="G240" s="4" t="s">
        <v>52</v>
      </c>
      <c r="H240" s="4"/>
    </row>
    <row r="241" ht="15.75" customHeight="1">
      <c r="A241" s="4" t="s">
        <v>97</v>
      </c>
      <c r="B241" s="4" t="s">
        <v>98</v>
      </c>
      <c r="C241" s="4" t="s">
        <v>791</v>
      </c>
      <c r="D241" s="4">
        <v>110.0</v>
      </c>
      <c r="E241" s="4">
        <v>25.0</v>
      </c>
      <c r="F241" s="4">
        <f t="shared" si="1"/>
        <v>6.1</v>
      </c>
      <c r="G241" s="4" t="s">
        <v>52</v>
      </c>
      <c r="H241" s="4"/>
    </row>
    <row r="242" ht="15.75" customHeight="1">
      <c r="A242" s="4" t="s">
        <v>97</v>
      </c>
      <c r="B242" s="4" t="s">
        <v>98</v>
      </c>
      <c r="C242" s="4" t="s">
        <v>792</v>
      </c>
      <c r="D242" s="4">
        <v>50.0</v>
      </c>
      <c r="E242" s="4">
        <v>11.0</v>
      </c>
      <c r="F242" s="4">
        <f t="shared" si="1"/>
        <v>5.8</v>
      </c>
      <c r="G242" s="4" t="s">
        <v>52</v>
      </c>
      <c r="H242" s="4"/>
    </row>
    <row r="243" ht="15.75" customHeight="1">
      <c r="A243" s="4" t="s">
        <v>97</v>
      </c>
      <c r="B243" s="4" t="s">
        <v>98</v>
      </c>
      <c r="C243" s="4" t="s">
        <v>793</v>
      </c>
      <c r="D243" s="4">
        <v>70.0</v>
      </c>
      <c r="E243" s="4">
        <v>17.0</v>
      </c>
      <c r="F243" s="4">
        <f t="shared" si="1"/>
        <v>5.5</v>
      </c>
      <c r="G243" s="4" t="s">
        <v>52</v>
      </c>
      <c r="H243" s="4"/>
    </row>
    <row r="244" ht="15.75" customHeight="1">
      <c r="A244" s="4" t="s">
        <v>97</v>
      </c>
      <c r="B244" s="4" t="s">
        <v>98</v>
      </c>
      <c r="C244" s="4" t="s">
        <v>794</v>
      </c>
      <c r="D244" s="4">
        <v>90.0</v>
      </c>
      <c r="E244" s="4">
        <v>31.0</v>
      </c>
      <c r="F244" s="4">
        <f t="shared" si="1"/>
        <v>4.1</v>
      </c>
      <c r="G244" s="4" t="s">
        <v>96</v>
      </c>
      <c r="H244" s="4"/>
    </row>
    <row r="245" ht="15.75" customHeight="1">
      <c r="A245" s="4" t="s">
        <v>97</v>
      </c>
      <c r="B245" s="4" t="s">
        <v>98</v>
      </c>
      <c r="C245" s="4" t="s">
        <v>795</v>
      </c>
      <c r="D245" s="4">
        <v>70.0</v>
      </c>
      <c r="E245" s="4">
        <v>24.0</v>
      </c>
      <c r="F245" s="4">
        <f t="shared" si="1"/>
        <v>4</v>
      </c>
      <c r="G245" s="4" t="s">
        <v>96</v>
      </c>
      <c r="H245" s="4"/>
    </row>
    <row r="246" ht="15.75" customHeight="1">
      <c r="A246" s="4" t="s">
        <v>97</v>
      </c>
      <c r="B246" s="4" t="s">
        <v>98</v>
      </c>
      <c r="C246" s="4" t="s">
        <v>796</v>
      </c>
      <c r="D246" s="4">
        <v>40.0</v>
      </c>
      <c r="E246" s="4">
        <v>13.0</v>
      </c>
      <c r="F246" s="4">
        <f t="shared" si="1"/>
        <v>4</v>
      </c>
      <c r="G246" s="4" t="s">
        <v>52</v>
      </c>
      <c r="H246" s="4"/>
    </row>
    <row r="247" ht="15.75" customHeight="1">
      <c r="A247" s="4" t="s">
        <v>97</v>
      </c>
      <c r="B247" s="4" t="s">
        <v>98</v>
      </c>
      <c r="C247" s="4" t="s">
        <v>797</v>
      </c>
      <c r="D247" s="4">
        <v>70.0</v>
      </c>
      <c r="E247" s="4">
        <v>24.0</v>
      </c>
      <c r="F247" s="4">
        <f t="shared" si="1"/>
        <v>4</v>
      </c>
      <c r="G247" s="4" t="s">
        <v>52</v>
      </c>
      <c r="H247" s="4"/>
    </row>
    <row r="248" ht="15.75" customHeight="1">
      <c r="A248" s="4" t="s">
        <v>97</v>
      </c>
      <c r="B248" s="4" t="s">
        <v>98</v>
      </c>
      <c r="C248" s="4" t="s">
        <v>798</v>
      </c>
      <c r="D248" s="4">
        <v>30.0</v>
      </c>
      <c r="E248" s="4">
        <v>11.0</v>
      </c>
      <c r="F248" s="4">
        <f t="shared" si="1"/>
        <v>3.5</v>
      </c>
      <c r="G248" s="4" t="s">
        <v>80</v>
      </c>
      <c r="H248" s="4"/>
    </row>
    <row r="249" ht="15.75" customHeight="1">
      <c r="A249" s="4" t="s">
        <v>97</v>
      </c>
      <c r="B249" s="4" t="s">
        <v>98</v>
      </c>
      <c r="C249" s="4" t="s">
        <v>799</v>
      </c>
      <c r="D249" s="4">
        <v>50.0</v>
      </c>
      <c r="E249" s="4">
        <v>19.0</v>
      </c>
      <c r="F249" s="4">
        <f t="shared" si="1"/>
        <v>3.5</v>
      </c>
      <c r="G249" s="4" t="s">
        <v>104</v>
      </c>
      <c r="H249" s="4"/>
    </row>
    <row r="250" ht="15.75" customHeight="1">
      <c r="A250" s="4" t="s">
        <v>97</v>
      </c>
      <c r="B250" s="4" t="s">
        <v>98</v>
      </c>
      <c r="C250" s="4" t="s">
        <v>800</v>
      </c>
      <c r="D250" s="4">
        <v>50.0</v>
      </c>
      <c r="E250" s="4">
        <v>22.0</v>
      </c>
      <c r="F250" s="4">
        <f t="shared" si="1"/>
        <v>3.1</v>
      </c>
      <c r="G250" s="4" t="s">
        <v>52</v>
      </c>
      <c r="H250" s="4"/>
    </row>
    <row r="251" ht="15.75" customHeight="1">
      <c r="A251" s="4" t="s">
        <v>97</v>
      </c>
      <c r="B251" s="4" t="s">
        <v>98</v>
      </c>
      <c r="C251" s="4" t="s">
        <v>801</v>
      </c>
      <c r="D251" s="4">
        <v>40.0</v>
      </c>
      <c r="E251" s="4">
        <v>17.0</v>
      </c>
      <c r="F251" s="4">
        <f t="shared" si="1"/>
        <v>3.1</v>
      </c>
      <c r="G251" s="4" t="s">
        <v>96</v>
      </c>
      <c r="H251" s="4"/>
    </row>
    <row r="252" ht="15.75" customHeight="1">
      <c r="A252" s="4" t="s">
        <v>97</v>
      </c>
      <c r="B252" s="4" t="s">
        <v>98</v>
      </c>
      <c r="C252" s="4" t="s">
        <v>802</v>
      </c>
      <c r="D252" s="4">
        <v>30.0</v>
      </c>
      <c r="E252" s="4">
        <v>13.0</v>
      </c>
      <c r="F252" s="4">
        <f t="shared" si="1"/>
        <v>3</v>
      </c>
      <c r="G252" s="4" t="s">
        <v>80</v>
      </c>
      <c r="H252" s="4"/>
    </row>
    <row r="253" ht="15.75" customHeight="1">
      <c r="A253" s="4" t="s">
        <v>97</v>
      </c>
      <c r="B253" s="4" t="s">
        <v>98</v>
      </c>
      <c r="C253" s="4" t="s">
        <v>803</v>
      </c>
      <c r="D253" s="4">
        <v>70.0</v>
      </c>
      <c r="E253" s="4">
        <v>35.0</v>
      </c>
      <c r="F253" s="4">
        <f t="shared" si="1"/>
        <v>2.9</v>
      </c>
      <c r="G253" s="4" t="s">
        <v>80</v>
      </c>
      <c r="H253" s="4"/>
    </row>
    <row r="254" ht="15.75" customHeight="1">
      <c r="A254" s="4" t="s">
        <v>97</v>
      </c>
      <c r="B254" s="4" t="s">
        <v>98</v>
      </c>
      <c r="C254" s="4" t="s">
        <v>804</v>
      </c>
      <c r="D254" s="4">
        <v>40.0</v>
      </c>
      <c r="E254" s="4">
        <v>20.0</v>
      </c>
      <c r="F254" s="4">
        <f t="shared" si="1"/>
        <v>2.7</v>
      </c>
      <c r="G254" s="4" t="s">
        <v>80</v>
      </c>
      <c r="H254" s="4"/>
    </row>
    <row r="255" ht="15.75" customHeight="1">
      <c r="A255" s="4" t="s">
        <v>97</v>
      </c>
      <c r="B255" s="4" t="s">
        <v>98</v>
      </c>
      <c r="C255" s="4" t="s">
        <v>805</v>
      </c>
      <c r="D255" s="4">
        <v>30.0</v>
      </c>
      <c r="E255" s="4">
        <v>15.0</v>
      </c>
      <c r="F255" s="4">
        <f t="shared" si="1"/>
        <v>2.6</v>
      </c>
      <c r="G255" s="4" t="s">
        <v>80</v>
      </c>
      <c r="H255" s="4"/>
    </row>
    <row r="256" ht="15.75" customHeight="1">
      <c r="A256" s="4" t="s">
        <v>97</v>
      </c>
      <c r="B256" s="4" t="s">
        <v>98</v>
      </c>
      <c r="C256" s="4" t="s">
        <v>806</v>
      </c>
      <c r="D256" s="4">
        <v>40.0</v>
      </c>
      <c r="E256" s="4">
        <v>22.0</v>
      </c>
      <c r="F256" s="4">
        <f t="shared" si="1"/>
        <v>2.5</v>
      </c>
      <c r="G256" s="4" t="s">
        <v>80</v>
      </c>
      <c r="H256" s="4"/>
    </row>
    <row r="257" ht="15.75" customHeight="1">
      <c r="A257" s="4" t="s">
        <v>97</v>
      </c>
      <c r="B257" s="4" t="s">
        <v>98</v>
      </c>
      <c r="C257" s="4" t="s">
        <v>807</v>
      </c>
      <c r="D257" s="4">
        <v>30.0</v>
      </c>
      <c r="E257" s="4">
        <v>18.0</v>
      </c>
      <c r="F257" s="4">
        <f t="shared" si="1"/>
        <v>2.2</v>
      </c>
      <c r="G257" s="4" t="s">
        <v>80</v>
      </c>
      <c r="H257" s="4"/>
    </row>
    <row r="258" ht="15.75" customHeight="1">
      <c r="A258" s="4" t="s">
        <v>97</v>
      </c>
      <c r="B258" s="4" t="s">
        <v>98</v>
      </c>
      <c r="C258" s="4" t="s">
        <v>808</v>
      </c>
      <c r="D258" s="4">
        <v>30.0</v>
      </c>
      <c r="E258" s="4">
        <v>26.0</v>
      </c>
      <c r="F258" s="4">
        <f t="shared" si="1"/>
        <v>1.6</v>
      </c>
      <c r="G258" s="4" t="s">
        <v>96</v>
      </c>
      <c r="H258" s="4"/>
    </row>
    <row r="259" ht="15.75" customHeight="1">
      <c r="A259" s="4" t="s">
        <v>97</v>
      </c>
      <c r="B259" s="4" t="s">
        <v>98</v>
      </c>
      <c r="C259" s="4" t="s">
        <v>809</v>
      </c>
      <c r="D259" s="4">
        <v>30.0</v>
      </c>
      <c r="E259" s="4">
        <v>34.0</v>
      </c>
      <c r="F259" s="4">
        <f t="shared" si="1"/>
        <v>1.3</v>
      </c>
      <c r="G259" s="4" t="s">
        <v>80</v>
      </c>
      <c r="H259" s="4"/>
    </row>
    <row r="260" ht="15.75" customHeight="1">
      <c r="A260" s="4" t="s">
        <v>97</v>
      </c>
      <c r="B260" s="4" t="s">
        <v>98</v>
      </c>
      <c r="C260" s="4" t="s">
        <v>810</v>
      </c>
      <c r="D260" s="4">
        <v>40.0</v>
      </c>
      <c r="E260" s="4">
        <v>44.0</v>
      </c>
      <c r="F260" s="4">
        <f t="shared" si="1"/>
        <v>1.3</v>
      </c>
      <c r="G260" s="4" t="s">
        <v>52</v>
      </c>
      <c r="H260" s="4"/>
    </row>
    <row r="261" ht="15.75" customHeight="1">
      <c r="A261" s="4" t="s">
        <v>164</v>
      </c>
      <c r="B261" s="4" t="s">
        <v>165</v>
      </c>
      <c r="C261" s="4" t="s">
        <v>811</v>
      </c>
      <c r="D261" s="4">
        <v>480.0</v>
      </c>
      <c r="E261" s="6">
        <v>13.0</v>
      </c>
      <c r="F261" s="4">
        <f t="shared" si="1"/>
        <v>47.7</v>
      </c>
      <c r="G261" s="4" t="s">
        <v>52</v>
      </c>
      <c r="H261" s="4"/>
    </row>
    <row r="262" ht="15.75" customHeight="1">
      <c r="A262" s="4" t="s">
        <v>164</v>
      </c>
      <c r="B262" s="4" t="s">
        <v>165</v>
      </c>
      <c r="C262" s="4" t="s">
        <v>812</v>
      </c>
      <c r="D262" s="4">
        <v>260.0</v>
      </c>
      <c r="E262" s="6">
        <v>8.0</v>
      </c>
      <c r="F262" s="4">
        <f t="shared" si="1"/>
        <v>40</v>
      </c>
      <c r="G262" s="4" t="s">
        <v>52</v>
      </c>
      <c r="H262" s="4"/>
    </row>
    <row r="263" ht="15.75" customHeight="1">
      <c r="A263" s="4" t="s">
        <v>164</v>
      </c>
      <c r="B263" s="4" t="s">
        <v>165</v>
      </c>
      <c r="C263" s="4" t="s">
        <v>813</v>
      </c>
      <c r="D263" s="4">
        <v>590.0</v>
      </c>
      <c r="E263" s="4">
        <v>40.0</v>
      </c>
      <c r="F263" s="4">
        <f t="shared" si="1"/>
        <v>21.3</v>
      </c>
      <c r="G263" s="4" t="s">
        <v>52</v>
      </c>
      <c r="H263" s="4"/>
    </row>
    <row r="264" ht="15.75" customHeight="1">
      <c r="A264" s="4" t="s">
        <v>164</v>
      </c>
      <c r="B264" s="4" t="s">
        <v>165</v>
      </c>
      <c r="C264" s="4" t="s">
        <v>814</v>
      </c>
      <c r="D264" s="4">
        <v>140.0</v>
      </c>
      <c r="E264" s="4">
        <v>14.0</v>
      </c>
      <c r="F264" s="4">
        <f t="shared" si="1"/>
        <v>13</v>
      </c>
      <c r="G264" s="4" t="s">
        <v>52</v>
      </c>
      <c r="H264" s="4"/>
    </row>
    <row r="265" ht="15.75" customHeight="1">
      <c r="A265" s="4" t="s">
        <v>164</v>
      </c>
      <c r="B265" s="4" t="s">
        <v>165</v>
      </c>
      <c r="C265" s="4" t="s">
        <v>815</v>
      </c>
      <c r="D265" s="4">
        <v>50.0</v>
      </c>
      <c r="E265" s="4">
        <v>5.0</v>
      </c>
      <c r="F265" s="4">
        <f t="shared" si="1"/>
        <v>11.7</v>
      </c>
      <c r="G265" s="4" t="s">
        <v>52</v>
      </c>
      <c r="H265" s="4"/>
    </row>
    <row r="266" ht="15.75" customHeight="1">
      <c r="A266" s="4" t="s">
        <v>164</v>
      </c>
      <c r="B266" s="4" t="s">
        <v>165</v>
      </c>
      <c r="C266" s="4" t="s">
        <v>816</v>
      </c>
      <c r="D266" s="4">
        <v>90.0</v>
      </c>
      <c r="E266" s="4">
        <v>11.0</v>
      </c>
      <c r="F266" s="4">
        <f t="shared" si="1"/>
        <v>10.4</v>
      </c>
      <c r="G266" s="4" t="s">
        <v>52</v>
      </c>
      <c r="H266" s="4"/>
    </row>
    <row r="267" ht="15.75" customHeight="1">
      <c r="A267" s="4" t="s">
        <v>164</v>
      </c>
      <c r="B267" s="4" t="s">
        <v>165</v>
      </c>
      <c r="C267" s="4" t="s">
        <v>817</v>
      </c>
      <c r="D267" s="4">
        <v>320.0</v>
      </c>
      <c r="E267" s="4">
        <v>45.0</v>
      </c>
      <c r="F267" s="4">
        <f t="shared" si="1"/>
        <v>10.4</v>
      </c>
      <c r="G267" s="4" t="s">
        <v>52</v>
      </c>
      <c r="H267" s="4"/>
    </row>
    <row r="268" ht="15.75" customHeight="1">
      <c r="A268" s="4" t="s">
        <v>164</v>
      </c>
      <c r="B268" s="4" t="s">
        <v>165</v>
      </c>
      <c r="C268" s="4" t="s">
        <v>818</v>
      </c>
      <c r="D268" s="4">
        <v>70.0</v>
      </c>
      <c r="E268" s="4">
        <v>11.0</v>
      </c>
      <c r="F268" s="4">
        <f t="shared" si="1"/>
        <v>8.1</v>
      </c>
      <c r="G268" s="4" t="s">
        <v>52</v>
      </c>
      <c r="H268" s="4"/>
    </row>
    <row r="269" ht="15.75" customHeight="1">
      <c r="A269" s="4" t="s">
        <v>164</v>
      </c>
      <c r="B269" s="4" t="s">
        <v>165</v>
      </c>
      <c r="C269" s="4" t="s">
        <v>819</v>
      </c>
      <c r="D269" s="4">
        <v>70.0</v>
      </c>
      <c r="E269" s="4">
        <v>15.0</v>
      </c>
      <c r="F269" s="4">
        <f t="shared" si="1"/>
        <v>6.1</v>
      </c>
      <c r="G269" s="4" t="s">
        <v>80</v>
      </c>
      <c r="H269" s="4"/>
    </row>
    <row r="270" ht="15.75" customHeight="1">
      <c r="A270" s="4" t="s">
        <v>164</v>
      </c>
      <c r="B270" s="4" t="s">
        <v>165</v>
      </c>
      <c r="C270" s="4" t="s">
        <v>820</v>
      </c>
      <c r="D270" s="4">
        <v>70.0</v>
      </c>
      <c r="E270" s="4">
        <v>30.0</v>
      </c>
      <c r="F270" s="4">
        <f t="shared" si="1"/>
        <v>3.3</v>
      </c>
      <c r="G270" s="4" t="s">
        <v>52</v>
      </c>
      <c r="H270" s="4"/>
    </row>
    <row r="271" ht="15.75" customHeight="1">
      <c r="A271" s="4" t="s">
        <v>164</v>
      </c>
      <c r="B271" s="4" t="s">
        <v>165</v>
      </c>
      <c r="C271" s="4" t="s">
        <v>821</v>
      </c>
      <c r="D271" s="4">
        <v>70.0</v>
      </c>
      <c r="E271" s="4">
        <v>1.0</v>
      </c>
      <c r="F271" s="4" t="str">
        <f t="shared" si="1"/>
        <v/>
      </c>
      <c r="G271" s="4" t="s">
        <v>52</v>
      </c>
      <c r="H271" s="4" t="s">
        <v>87</v>
      </c>
    </row>
    <row r="272" ht="15.75" customHeight="1">
      <c r="A272" s="4" t="s">
        <v>108</v>
      </c>
      <c r="B272" s="4" t="s">
        <v>110</v>
      </c>
      <c r="C272" s="4" t="s">
        <v>822</v>
      </c>
      <c r="D272" s="4">
        <v>5400.0</v>
      </c>
      <c r="E272" s="4">
        <v>30.0</v>
      </c>
      <c r="F272" s="4">
        <f t="shared" si="1"/>
        <v>252.9</v>
      </c>
      <c r="G272" s="4" t="s">
        <v>80</v>
      </c>
      <c r="H272" s="4"/>
    </row>
    <row r="273" ht="15.75" customHeight="1">
      <c r="A273" s="4" t="s">
        <v>108</v>
      </c>
      <c r="B273" s="4" t="s">
        <v>110</v>
      </c>
      <c r="C273" s="4" t="s">
        <v>823</v>
      </c>
      <c r="D273" s="4">
        <v>2400.0</v>
      </c>
      <c r="E273" s="4">
        <v>17.0</v>
      </c>
      <c r="F273" s="4">
        <f t="shared" si="1"/>
        <v>187.4</v>
      </c>
      <c r="G273" s="4" t="s">
        <v>96</v>
      </c>
      <c r="H273" s="4"/>
    </row>
    <row r="274" ht="15.75" customHeight="1">
      <c r="A274" s="4" t="s">
        <v>108</v>
      </c>
      <c r="B274" s="4" t="s">
        <v>110</v>
      </c>
      <c r="C274" s="4" t="s">
        <v>824</v>
      </c>
      <c r="D274" s="4">
        <v>260.0</v>
      </c>
      <c r="E274" s="6">
        <v>4.0</v>
      </c>
      <c r="F274" s="4">
        <f t="shared" si="1"/>
        <v>74.7</v>
      </c>
      <c r="G274" s="4" t="s">
        <v>96</v>
      </c>
      <c r="H274" s="4"/>
    </row>
    <row r="275" ht="15.75" customHeight="1">
      <c r="A275" s="4" t="s">
        <v>108</v>
      </c>
      <c r="B275" s="4" t="s">
        <v>110</v>
      </c>
      <c r="C275" s="4" t="s">
        <v>825</v>
      </c>
      <c r="D275" s="4">
        <v>880.0</v>
      </c>
      <c r="E275" s="4">
        <v>17.0</v>
      </c>
      <c r="F275" s="4">
        <f t="shared" si="1"/>
        <v>68.7</v>
      </c>
      <c r="G275" s="4" t="s">
        <v>79</v>
      </c>
      <c r="H275" s="4"/>
    </row>
    <row r="276" ht="15.75" customHeight="1">
      <c r="A276" s="4" t="s">
        <v>108</v>
      </c>
      <c r="B276" s="4" t="s">
        <v>110</v>
      </c>
      <c r="C276" s="4" t="s">
        <v>826</v>
      </c>
      <c r="D276" s="4">
        <v>390.0</v>
      </c>
      <c r="E276" s="6">
        <v>9.0</v>
      </c>
      <c r="F276" s="4">
        <f t="shared" si="1"/>
        <v>54</v>
      </c>
      <c r="G276" s="4" t="s">
        <v>80</v>
      </c>
      <c r="H276" s="4"/>
    </row>
    <row r="277" ht="15.75" customHeight="1">
      <c r="A277" s="4" t="s">
        <v>108</v>
      </c>
      <c r="B277" s="4" t="s">
        <v>110</v>
      </c>
      <c r="C277" s="4" t="s">
        <v>827</v>
      </c>
      <c r="D277" s="4">
        <v>140.0</v>
      </c>
      <c r="E277" s="4">
        <v>3.0</v>
      </c>
      <c r="F277" s="4">
        <f t="shared" si="1"/>
        <v>52.1</v>
      </c>
      <c r="G277" s="4" t="s">
        <v>52</v>
      </c>
      <c r="H277" s="4"/>
    </row>
    <row r="278" ht="15.75" customHeight="1">
      <c r="A278" s="4" t="s">
        <v>108</v>
      </c>
      <c r="B278" s="4" t="s">
        <v>110</v>
      </c>
      <c r="C278" s="4" t="s">
        <v>828</v>
      </c>
      <c r="D278" s="4">
        <v>480.0</v>
      </c>
      <c r="E278" s="4">
        <v>17.0</v>
      </c>
      <c r="F278" s="4">
        <f t="shared" si="1"/>
        <v>37.5</v>
      </c>
      <c r="G278" s="4" t="s">
        <v>80</v>
      </c>
      <c r="H278" s="4"/>
    </row>
    <row r="279" ht="15.75" customHeight="1">
      <c r="A279" s="4" t="s">
        <v>108</v>
      </c>
      <c r="B279" s="4" t="s">
        <v>110</v>
      </c>
      <c r="C279" s="4" t="s">
        <v>829</v>
      </c>
      <c r="D279" s="4">
        <v>720.0</v>
      </c>
      <c r="E279" s="4">
        <v>30.0</v>
      </c>
      <c r="F279" s="4">
        <f t="shared" si="1"/>
        <v>33.7</v>
      </c>
      <c r="G279" s="4" t="s">
        <v>96</v>
      </c>
      <c r="H279" s="4"/>
    </row>
    <row r="280" ht="15.75" customHeight="1">
      <c r="A280" s="4" t="s">
        <v>108</v>
      </c>
      <c r="B280" s="4" t="s">
        <v>110</v>
      </c>
      <c r="C280" s="4" t="s">
        <v>830</v>
      </c>
      <c r="D280" s="4">
        <v>140.0</v>
      </c>
      <c r="E280" s="4">
        <v>5.0</v>
      </c>
      <c r="F280" s="4">
        <f t="shared" si="1"/>
        <v>32.9</v>
      </c>
      <c r="G280" s="4" t="s">
        <v>96</v>
      </c>
      <c r="H280" s="4"/>
    </row>
    <row r="281" ht="15.75" customHeight="1">
      <c r="A281" s="4" t="s">
        <v>108</v>
      </c>
      <c r="B281" s="4" t="s">
        <v>110</v>
      </c>
      <c r="C281" s="4" t="s">
        <v>831</v>
      </c>
      <c r="D281" s="4">
        <v>390.0</v>
      </c>
      <c r="E281" s="4">
        <v>16.0</v>
      </c>
      <c r="F281" s="4">
        <f t="shared" si="1"/>
        <v>32.2</v>
      </c>
      <c r="G281" s="4" t="s">
        <v>52</v>
      </c>
      <c r="H281" s="4"/>
    </row>
    <row r="282" ht="15.75" customHeight="1">
      <c r="A282" s="4" t="s">
        <v>108</v>
      </c>
      <c r="B282" s="4" t="s">
        <v>110</v>
      </c>
      <c r="C282" s="4" t="s">
        <v>832</v>
      </c>
      <c r="D282" s="4">
        <v>390.0</v>
      </c>
      <c r="E282" s="4">
        <v>17.0</v>
      </c>
      <c r="F282" s="4">
        <f t="shared" si="1"/>
        <v>30.5</v>
      </c>
      <c r="G282" s="4" t="s">
        <v>80</v>
      </c>
      <c r="H282" s="4"/>
    </row>
    <row r="283" ht="15.75" customHeight="1">
      <c r="A283" s="4" t="s">
        <v>108</v>
      </c>
      <c r="B283" s="4" t="s">
        <v>110</v>
      </c>
      <c r="C283" s="4" t="s">
        <v>833</v>
      </c>
      <c r="D283" s="4">
        <v>480.0</v>
      </c>
      <c r="E283" s="4">
        <v>23.0</v>
      </c>
      <c r="F283" s="4">
        <f t="shared" si="1"/>
        <v>28.6</v>
      </c>
      <c r="G283" s="4" t="s">
        <v>79</v>
      </c>
      <c r="H283" s="4"/>
    </row>
    <row r="284" ht="15.75" customHeight="1">
      <c r="A284" s="4" t="s">
        <v>108</v>
      </c>
      <c r="B284" s="4" t="s">
        <v>110</v>
      </c>
      <c r="C284" s="4" t="s">
        <v>834</v>
      </c>
      <c r="D284" s="4">
        <v>90.0</v>
      </c>
      <c r="E284" s="4">
        <v>4.0</v>
      </c>
      <c r="F284" s="4">
        <f t="shared" si="1"/>
        <v>25.8</v>
      </c>
      <c r="G284" s="4" t="s">
        <v>96</v>
      </c>
      <c r="H284" s="4"/>
    </row>
    <row r="285" ht="15.75" customHeight="1">
      <c r="A285" s="4" t="s">
        <v>108</v>
      </c>
      <c r="B285" s="4" t="s">
        <v>110</v>
      </c>
      <c r="C285" s="4" t="s">
        <v>835</v>
      </c>
      <c r="D285" s="4">
        <v>390.0</v>
      </c>
      <c r="E285" s="4">
        <v>24.0</v>
      </c>
      <c r="F285" s="4">
        <f t="shared" si="1"/>
        <v>22.3</v>
      </c>
      <c r="G285" s="4" t="s">
        <v>52</v>
      </c>
      <c r="H285" s="4"/>
    </row>
    <row r="286" ht="15.75" customHeight="1">
      <c r="A286" s="4" t="s">
        <v>108</v>
      </c>
      <c r="B286" s="4" t="s">
        <v>110</v>
      </c>
      <c r="C286" s="4" t="s">
        <v>836</v>
      </c>
      <c r="D286" s="4">
        <v>320.0</v>
      </c>
      <c r="E286" s="4">
        <v>20.0</v>
      </c>
      <c r="F286" s="4">
        <f t="shared" si="1"/>
        <v>21.6</v>
      </c>
      <c r="G286" s="4" t="s">
        <v>52</v>
      </c>
      <c r="H286" s="4"/>
    </row>
    <row r="287" ht="15.75" customHeight="1">
      <c r="A287" s="4" t="s">
        <v>108</v>
      </c>
      <c r="B287" s="4" t="s">
        <v>110</v>
      </c>
      <c r="C287" s="4" t="s">
        <v>837</v>
      </c>
      <c r="D287" s="4">
        <v>320.0</v>
      </c>
      <c r="E287" s="4">
        <v>23.0</v>
      </c>
      <c r="F287" s="4">
        <f t="shared" si="1"/>
        <v>19</v>
      </c>
      <c r="G287" s="4" t="s">
        <v>52</v>
      </c>
      <c r="H287" s="4"/>
    </row>
    <row r="288" ht="15.75" customHeight="1">
      <c r="A288" s="4" t="s">
        <v>108</v>
      </c>
      <c r="B288" s="4" t="s">
        <v>110</v>
      </c>
      <c r="C288" s="4" t="s">
        <v>838</v>
      </c>
      <c r="D288" s="4">
        <v>390.0</v>
      </c>
      <c r="E288" s="4">
        <v>31.0</v>
      </c>
      <c r="F288" s="4">
        <f t="shared" si="1"/>
        <v>17.7</v>
      </c>
      <c r="G288" s="4" t="s">
        <v>79</v>
      </c>
      <c r="H288" s="4"/>
    </row>
    <row r="289" ht="15.75" customHeight="1">
      <c r="A289" s="4" t="s">
        <v>108</v>
      </c>
      <c r="B289" s="4" t="s">
        <v>110</v>
      </c>
      <c r="C289" s="4" t="s">
        <v>839</v>
      </c>
      <c r="D289" s="4">
        <v>320.0</v>
      </c>
      <c r="E289" s="4">
        <v>25.0</v>
      </c>
      <c r="F289" s="4">
        <f t="shared" si="1"/>
        <v>17.7</v>
      </c>
      <c r="G289" s="4" t="s">
        <v>52</v>
      </c>
      <c r="H289" s="4"/>
    </row>
    <row r="290" ht="15.75" customHeight="1">
      <c r="A290" s="4" t="s">
        <v>108</v>
      </c>
      <c r="B290" s="4" t="s">
        <v>110</v>
      </c>
      <c r="C290" s="4" t="s">
        <v>840</v>
      </c>
      <c r="D290" s="4">
        <v>110.0</v>
      </c>
      <c r="E290" s="4">
        <v>8.0</v>
      </c>
      <c r="F290" s="4">
        <f t="shared" si="1"/>
        <v>16.9</v>
      </c>
      <c r="G290" s="4" t="s">
        <v>79</v>
      </c>
      <c r="H290" s="4"/>
    </row>
    <row r="291" ht="15.75" customHeight="1">
      <c r="A291" s="4" t="s">
        <v>108</v>
      </c>
      <c r="B291" s="4" t="s">
        <v>110</v>
      </c>
      <c r="C291" s="4" t="s">
        <v>841</v>
      </c>
      <c r="D291" s="4">
        <v>170.0</v>
      </c>
      <c r="E291" s="4">
        <v>14.0</v>
      </c>
      <c r="F291" s="4">
        <f t="shared" si="1"/>
        <v>15.8</v>
      </c>
      <c r="G291" s="4" t="s">
        <v>96</v>
      </c>
      <c r="H291" s="4"/>
    </row>
    <row r="292" ht="15.75" customHeight="1">
      <c r="A292" s="4" t="s">
        <v>108</v>
      </c>
      <c r="B292" s="4" t="s">
        <v>110</v>
      </c>
      <c r="C292" s="4" t="s">
        <v>842</v>
      </c>
      <c r="D292" s="4">
        <v>210.0</v>
      </c>
      <c r="E292" s="4">
        <v>18.0</v>
      </c>
      <c r="F292" s="4">
        <f t="shared" si="1"/>
        <v>15.6</v>
      </c>
      <c r="G292" s="4" t="s">
        <v>96</v>
      </c>
      <c r="H292" s="4"/>
    </row>
    <row r="293" ht="15.75" customHeight="1">
      <c r="A293" s="4" t="s">
        <v>108</v>
      </c>
      <c r="B293" s="4" t="s">
        <v>110</v>
      </c>
      <c r="C293" s="4" t="s">
        <v>843</v>
      </c>
      <c r="D293" s="4">
        <v>260.0</v>
      </c>
      <c r="E293" s="4">
        <v>24.0</v>
      </c>
      <c r="F293" s="4">
        <f t="shared" si="1"/>
        <v>14.9</v>
      </c>
      <c r="G293" s="4" t="s">
        <v>79</v>
      </c>
      <c r="H293" s="4"/>
    </row>
    <row r="294" ht="15.75" customHeight="1">
      <c r="A294" s="4" t="s">
        <v>108</v>
      </c>
      <c r="B294" s="4" t="s">
        <v>110</v>
      </c>
      <c r="C294" s="4" t="s">
        <v>844</v>
      </c>
      <c r="D294" s="4">
        <v>40.0</v>
      </c>
      <c r="E294" s="4">
        <v>3.0</v>
      </c>
      <c r="F294" s="4">
        <f t="shared" si="1"/>
        <v>14.9</v>
      </c>
      <c r="G294" s="4" t="s">
        <v>96</v>
      </c>
      <c r="H294" s="4"/>
    </row>
    <row r="295" ht="15.75" customHeight="1">
      <c r="A295" s="4" t="s">
        <v>108</v>
      </c>
      <c r="B295" s="4" t="s">
        <v>110</v>
      </c>
      <c r="C295" s="4" t="s">
        <v>845</v>
      </c>
      <c r="D295" s="4">
        <v>110.0</v>
      </c>
      <c r="E295" s="4">
        <v>10.0</v>
      </c>
      <c r="F295" s="4">
        <f t="shared" si="1"/>
        <v>13.8</v>
      </c>
      <c r="G295" s="4" t="s">
        <v>80</v>
      </c>
      <c r="H295" s="4"/>
    </row>
    <row r="296" ht="15.75" customHeight="1">
      <c r="A296" s="4" t="s">
        <v>108</v>
      </c>
      <c r="B296" s="4" t="s">
        <v>110</v>
      </c>
      <c r="C296" s="4" t="s">
        <v>846</v>
      </c>
      <c r="D296" s="4">
        <v>210.0</v>
      </c>
      <c r="E296" s="4">
        <v>21.0</v>
      </c>
      <c r="F296" s="4">
        <f t="shared" si="1"/>
        <v>13.6</v>
      </c>
      <c r="G296" s="4" t="s">
        <v>104</v>
      </c>
      <c r="H296" s="4"/>
    </row>
    <row r="297" ht="15.75" customHeight="1">
      <c r="A297" s="4" t="s">
        <v>108</v>
      </c>
      <c r="B297" s="4" t="s">
        <v>110</v>
      </c>
      <c r="C297" s="4" t="s">
        <v>847</v>
      </c>
      <c r="D297" s="4">
        <v>140.0</v>
      </c>
      <c r="E297" s="4">
        <v>14.0</v>
      </c>
      <c r="F297" s="4">
        <f t="shared" si="1"/>
        <v>13</v>
      </c>
      <c r="G297" s="4" t="s">
        <v>79</v>
      </c>
      <c r="H297" s="4"/>
    </row>
    <row r="298" ht="15.75" customHeight="1">
      <c r="A298" s="4" t="s">
        <v>108</v>
      </c>
      <c r="B298" s="4" t="s">
        <v>110</v>
      </c>
      <c r="C298" s="4" t="s">
        <v>848</v>
      </c>
      <c r="D298" s="4">
        <v>170.0</v>
      </c>
      <c r="E298" s="4">
        <v>18.0</v>
      </c>
      <c r="F298" s="4">
        <f t="shared" si="1"/>
        <v>12.6</v>
      </c>
      <c r="G298" s="4" t="s">
        <v>96</v>
      </c>
      <c r="H298" s="4"/>
    </row>
    <row r="299" ht="15.75" customHeight="1">
      <c r="A299" s="4" t="s">
        <v>108</v>
      </c>
      <c r="B299" s="4" t="s">
        <v>110</v>
      </c>
      <c r="C299" s="4" t="s">
        <v>849</v>
      </c>
      <c r="D299" s="4">
        <v>210.0</v>
      </c>
      <c r="E299" s="4">
        <v>26.0</v>
      </c>
      <c r="F299" s="4">
        <f t="shared" si="1"/>
        <v>11.2</v>
      </c>
      <c r="G299" s="4" t="s">
        <v>52</v>
      </c>
      <c r="H299" s="4"/>
    </row>
    <row r="300" ht="15.75" customHeight="1">
      <c r="A300" s="4" t="s">
        <v>108</v>
      </c>
      <c r="B300" s="4" t="s">
        <v>110</v>
      </c>
      <c r="C300" s="4" t="s">
        <v>850</v>
      </c>
      <c r="D300" s="4">
        <v>140.0</v>
      </c>
      <c r="E300" s="4">
        <v>17.0</v>
      </c>
      <c r="F300" s="4">
        <f t="shared" si="1"/>
        <v>10.9</v>
      </c>
      <c r="G300" s="4" t="s">
        <v>79</v>
      </c>
      <c r="H300" s="4"/>
    </row>
    <row r="301" ht="15.75" customHeight="1">
      <c r="A301" s="4" t="s">
        <v>108</v>
      </c>
      <c r="B301" s="4" t="s">
        <v>110</v>
      </c>
      <c r="C301" s="4" t="s">
        <v>851</v>
      </c>
      <c r="D301" s="4">
        <v>140.0</v>
      </c>
      <c r="E301" s="4">
        <v>17.0</v>
      </c>
      <c r="F301" s="4">
        <f t="shared" si="1"/>
        <v>10.9</v>
      </c>
      <c r="G301" s="4" t="s">
        <v>79</v>
      </c>
      <c r="H301" s="4"/>
    </row>
    <row r="302" ht="15.75" customHeight="1">
      <c r="A302" s="4" t="s">
        <v>108</v>
      </c>
      <c r="B302" s="4" t="s">
        <v>110</v>
      </c>
      <c r="C302" s="4" t="s">
        <v>852</v>
      </c>
      <c r="D302" s="4">
        <v>70.0</v>
      </c>
      <c r="E302" s="4">
        <v>8.0</v>
      </c>
      <c r="F302" s="4">
        <f t="shared" si="1"/>
        <v>10.8</v>
      </c>
      <c r="G302" s="4" t="s">
        <v>80</v>
      </c>
      <c r="H302" s="4"/>
    </row>
    <row r="303" ht="15.75" customHeight="1">
      <c r="A303" s="4" t="s">
        <v>108</v>
      </c>
      <c r="B303" s="4" t="s">
        <v>110</v>
      </c>
      <c r="C303" s="4" t="s">
        <v>853</v>
      </c>
      <c r="D303" s="4">
        <v>90.0</v>
      </c>
      <c r="E303" s="4">
        <v>11.0</v>
      </c>
      <c r="F303" s="4">
        <f t="shared" si="1"/>
        <v>10.4</v>
      </c>
      <c r="G303" s="4" t="s">
        <v>96</v>
      </c>
      <c r="H303" s="4"/>
    </row>
    <row r="304" ht="15.75" customHeight="1">
      <c r="A304" s="4" t="s">
        <v>108</v>
      </c>
      <c r="B304" s="4" t="s">
        <v>110</v>
      </c>
      <c r="C304" s="4" t="s">
        <v>854</v>
      </c>
      <c r="D304" s="4">
        <v>170.0</v>
      </c>
      <c r="E304" s="4">
        <v>24.0</v>
      </c>
      <c r="F304" s="4">
        <f t="shared" si="1"/>
        <v>9.7</v>
      </c>
      <c r="G304" s="4" t="s">
        <v>52</v>
      </c>
      <c r="H304" s="4"/>
    </row>
    <row r="305" ht="15.75" customHeight="1">
      <c r="A305" s="4" t="s">
        <v>108</v>
      </c>
      <c r="B305" s="4" t="s">
        <v>110</v>
      </c>
      <c r="C305" s="4" t="s">
        <v>855</v>
      </c>
      <c r="D305" s="4">
        <v>110.0</v>
      </c>
      <c r="E305" s="4">
        <v>15.0</v>
      </c>
      <c r="F305" s="4">
        <f t="shared" si="1"/>
        <v>9.6</v>
      </c>
      <c r="G305" s="4" t="s">
        <v>52</v>
      </c>
      <c r="H305" s="4"/>
    </row>
    <row r="306" ht="15.75" customHeight="1">
      <c r="A306" s="4" t="s">
        <v>108</v>
      </c>
      <c r="B306" s="4" t="s">
        <v>110</v>
      </c>
      <c r="C306" s="4" t="s">
        <v>856</v>
      </c>
      <c r="D306" s="4">
        <v>170.0</v>
      </c>
      <c r="E306" s="4">
        <v>27.0</v>
      </c>
      <c r="F306" s="4">
        <f t="shared" si="1"/>
        <v>8.8</v>
      </c>
      <c r="G306" s="4" t="s">
        <v>80</v>
      </c>
      <c r="H306" s="4"/>
    </row>
    <row r="307" ht="15.75" customHeight="1">
      <c r="A307" s="4" t="s">
        <v>108</v>
      </c>
      <c r="B307" s="4" t="s">
        <v>110</v>
      </c>
      <c r="C307" s="4" t="s">
        <v>857</v>
      </c>
      <c r="D307" s="4">
        <v>70.0</v>
      </c>
      <c r="E307" s="4">
        <v>12.0</v>
      </c>
      <c r="F307" s="4">
        <f t="shared" si="1"/>
        <v>7.5</v>
      </c>
      <c r="G307" s="4" t="s">
        <v>52</v>
      </c>
      <c r="H307" s="4"/>
    </row>
    <row r="308" ht="15.75" customHeight="1">
      <c r="A308" s="4" t="s">
        <v>108</v>
      </c>
      <c r="B308" s="4" t="s">
        <v>110</v>
      </c>
      <c r="C308" s="4" t="s">
        <v>858</v>
      </c>
      <c r="D308" s="4">
        <v>170.0</v>
      </c>
      <c r="E308" s="4">
        <v>34.0</v>
      </c>
      <c r="F308" s="4">
        <f t="shared" si="1"/>
        <v>7.1</v>
      </c>
      <c r="G308" s="4" t="s">
        <v>96</v>
      </c>
      <c r="H308" s="4"/>
    </row>
    <row r="309" ht="15.75" customHeight="1">
      <c r="A309" s="4" t="s">
        <v>108</v>
      </c>
      <c r="B309" s="4" t="s">
        <v>110</v>
      </c>
      <c r="C309" s="4" t="s">
        <v>859</v>
      </c>
      <c r="D309" s="4">
        <v>40.0</v>
      </c>
      <c r="E309" s="4">
        <v>8.0</v>
      </c>
      <c r="F309" s="4">
        <f t="shared" si="1"/>
        <v>6.2</v>
      </c>
      <c r="G309" s="4" t="s">
        <v>52</v>
      </c>
      <c r="H309" s="4"/>
    </row>
    <row r="310" ht="15.75" customHeight="1">
      <c r="A310" s="4" t="s">
        <v>108</v>
      </c>
      <c r="B310" s="4" t="s">
        <v>110</v>
      </c>
      <c r="C310" s="4" t="s">
        <v>860</v>
      </c>
      <c r="D310" s="4">
        <v>50.0</v>
      </c>
      <c r="E310" s="4">
        <v>11.0</v>
      </c>
      <c r="F310" s="4">
        <f t="shared" si="1"/>
        <v>5.8</v>
      </c>
      <c r="G310" s="4" t="s">
        <v>80</v>
      </c>
      <c r="H310" s="4"/>
    </row>
    <row r="311" ht="15.75" customHeight="1">
      <c r="A311" s="4" t="s">
        <v>108</v>
      </c>
      <c r="B311" s="4" t="s">
        <v>110</v>
      </c>
      <c r="C311" s="4" t="s">
        <v>861</v>
      </c>
      <c r="D311" s="4">
        <v>70.0</v>
      </c>
      <c r="E311" s="4">
        <v>17.0</v>
      </c>
      <c r="F311" s="4">
        <f t="shared" si="1"/>
        <v>5.5</v>
      </c>
      <c r="G311" s="4" t="s">
        <v>79</v>
      </c>
      <c r="H311" s="4"/>
    </row>
    <row r="312" ht="15.75" customHeight="1">
      <c r="A312" s="4" t="s">
        <v>108</v>
      </c>
      <c r="B312" s="4" t="s">
        <v>110</v>
      </c>
      <c r="C312" s="4" t="s">
        <v>862</v>
      </c>
      <c r="D312" s="4">
        <v>70.0</v>
      </c>
      <c r="E312" s="4">
        <v>18.0</v>
      </c>
      <c r="F312" s="4">
        <f t="shared" si="1"/>
        <v>5.2</v>
      </c>
      <c r="G312" s="4" t="s">
        <v>80</v>
      </c>
      <c r="H312" s="4"/>
    </row>
    <row r="313" ht="15.75" customHeight="1">
      <c r="A313" s="4" t="s">
        <v>108</v>
      </c>
      <c r="B313" s="4" t="s">
        <v>110</v>
      </c>
      <c r="C313" s="4" t="s">
        <v>863</v>
      </c>
      <c r="D313" s="4">
        <v>50.0</v>
      </c>
      <c r="E313" s="4">
        <v>14.0</v>
      </c>
      <c r="F313" s="4">
        <f t="shared" si="1"/>
        <v>4.7</v>
      </c>
      <c r="G313" s="4" t="s">
        <v>79</v>
      </c>
      <c r="H313" s="4"/>
    </row>
    <row r="314" ht="15.75" customHeight="1">
      <c r="A314" s="4" t="s">
        <v>108</v>
      </c>
      <c r="B314" s="4" t="s">
        <v>110</v>
      </c>
      <c r="C314" s="4" t="s">
        <v>864</v>
      </c>
      <c r="D314" s="4">
        <v>50.0</v>
      </c>
      <c r="E314" s="4">
        <v>17.0</v>
      </c>
      <c r="F314" s="4">
        <f t="shared" si="1"/>
        <v>3.9</v>
      </c>
      <c r="G314" s="4" t="s">
        <v>96</v>
      </c>
      <c r="H314" s="4"/>
    </row>
    <row r="315" ht="15.75" customHeight="1">
      <c r="A315" s="4" t="s">
        <v>108</v>
      </c>
      <c r="B315" s="4" t="s">
        <v>110</v>
      </c>
      <c r="C315" s="4" t="s">
        <v>865</v>
      </c>
      <c r="D315" s="4">
        <v>40.0</v>
      </c>
      <c r="E315" s="4">
        <v>14.0</v>
      </c>
      <c r="F315" s="4">
        <f t="shared" si="1"/>
        <v>3.7</v>
      </c>
      <c r="G315" s="4" t="s">
        <v>52</v>
      </c>
      <c r="H315" s="4"/>
    </row>
    <row r="316" ht="15.75" customHeight="1">
      <c r="A316" s="4" t="s">
        <v>108</v>
      </c>
      <c r="B316" s="4" t="s">
        <v>110</v>
      </c>
      <c r="C316" s="4" t="s">
        <v>866</v>
      </c>
      <c r="D316" s="4">
        <v>30.0</v>
      </c>
      <c r="E316" s="4">
        <v>12.0</v>
      </c>
      <c r="F316" s="4">
        <f t="shared" si="1"/>
        <v>3.2</v>
      </c>
      <c r="G316" s="4" t="s">
        <v>80</v>
      </c>
      <c r="H316" s="4"/>
    </row>
    <row r="317" ht="15.75" customHeight="1">
      <c r="A317" s="4" t="s">
        <v>108</v>
      </c>
      <c r="B317" s="4" t="s">
        <v>110</v>
      </c>
      <c r="C317" s="4" t="s">
        <v>867</v>
      </c>
      <c r="D317" s="4">
        <v>40.0</v>
      </c>
      <c r="E317" s="4">
        <v>19.0</v>
      </c>
      <c r="F317" s="4">
        <f t="shared" si="1"/>
        <v>2.8</v>
      </c>
      <c r="G317" s="4" t="s">
        <v>79</v>
      </c>
      <c r="H317" s="4"/>
    </row>
    <row r="318" ht="15.75" customHeight="1">
      <c r="A318" s="4" t="s">
        <v>108</v>
      </c>
      <c r="B318" s="4" t="s">
        <v>110</v>
      </c>
      <c r="C318" s="4" t="s">
        <v>868</v>
      </c>
      <c r="D318" s="4">
        <v>30.0</v>
      </c>
      <c r="E318" s="4">
        <v>17.0</v>
      </c>
      <c r="F318" s="4">
        <f t="shared" si="1"/>
        <v>2.3</v>
      </c>
      <c r="G318" s="4" t="s">
        <v>80</v>
      </c>
      <c r="H318" s="4"/>
    </row>
    <row r="319" ht="15.75" customHeight="1">
      <c r="A319" s="4" t="s">
        <v>108</v>
      </c>
      <c r="B319" s="4" t="s">
        <v>110</v>
      </c>
      <c r="C319" s="4" t="s">
        <v>869</v>
      </c>
      <c r="D319" s="4">
        <v>30.0</v>
      </c>
      <c r="E319" s="4">
        <v>18.0</v>
      </c>
      <c r="F319" s="4">
        <f t="shared" si="1"/>
        <v>2.2</v>
      </c>
      <c r="G319" s="4" t="s">
        <v>52</v>
      </c>
      <c r="H319" s="4"/>
    </row>
    <row r="320" ht="15.75" customHeight="1">
      <c r="A320" s="4" t="s">
        <v>108</v>
      </c>
      <c r="B320" s="4" t="s">
        <v>110</v>
      </c>
      <c r="C320" s="4" t="s">
        <v>870</v>
      </c>
      <c r="D320" s="4">
        <v>140.0</v>
      </c>
      <c r="E320" s="4">
        <v>0.0</v>
      </c>
      <c r="F320" s="4" t="str">
        <f t="shared" si="1"/>
        <v/>
      </c>
      <c r="G320" s="4" t="s">
        <v>80</v>
      </c>
      <c r="H320" s="4" t="s">
        <v>87</v>
      </c>
    </row>
    <row r="321" ht="15.75" customHeight="1">
      <c r="A321" s="4" t="s">
        <v>108</v>
      </c>
      <c r="B321" s="4" t="s">
        <v>110</v>
      </c>
      <c r="C321" s="4" t="s">
        <v>871</v>
      </c>
      <c r="D321" s="4">
        <v>30.0</v>
      </c>
      <c r="E321" s="4">
        <v>1.0</v>
      </c>
      <c r="F321" s="4" t="str">
        <f t="shared" si="1"/>
        <v/>
      </c>
      <c r="G321" s="4" t="s">
        <v>79</v>
      </c>
      <c r="H321" s="4" t="s">
        <v>87</v>
      </c>
    </row>
    <row r="322" ht="15.75" customHeight="1">
      <c r="A322" s="4" t="s">
        <v>108</v>
      </c>
      <c r="B322" s="4" t="s">
        <v>110</v>
      </c>
      <c r="C322" s="4" t="s">
        <v>872</v>
      </c>
      <c r="D322" s="4">
        <v>30.0</v>
      </c>
      <c r="E322" s="4">
        <v>0.0</v>
      </c>
      <c r="F322" s="4" t="str">
        <f t="shared" si="1"/>
        <v/>
      </c>
      <c r="G322" s="4" t="s">
        <v>80</v>
      </c>
      <c r="H322" s="4" t="s">
        <v>87</v>
      </c>
    </row>
    <row r="323" ht="15.75" customHeight="1">
      <c r="A323" s="4" t="s">
        <v>108</v>
      </c>
      <c r="B323" s="4" t="s">
        <v>110</v>
      </c>
      <c r="C323" s="4" t="s">
        <v>873</v>
      </c>
      <c r="D323" s="4">
        <v>30.0</v>
      </c>
      <c r="E323" s="4">
        <v>1.0</v>
      </c>
      <c r="F323" s="4" t="str">
        <f t="shared" si="1"/>
        <v/>
      </c>
      <c r="G323" s="4" t="s">
        <v>52</v>
      </c>
      <c r="H323" s="4" t="s">
        <v>87</v>
      </c>
    </row>
    <row r="324" ht="15.75" customHeight="1">
      <c r="A324" s="4" t="s">
        <v>215</v>
      </c>
      <c r="B324" s="4" t="s">
        <v>100</v>
      </c>
      <c r="C324" s="4" t="s">
        <v>874</v>
      </c>
      <c r="D324" s="4">
        <v>480.0</v>
      </c>
      <c r="E324" s="4">
        <v>36.0</v>
      </c>
      <c r="F324" s="4">
        <f t="shared" si="1"/>
        <v>19.1</v>
      </c>
      <c r="G324" s="4" t="s">
        <v>52</v>
      </c>
      <c r="H324" s="4"/>
    </row>
    <row r="325" ht="15.75" customHeight="1">
      <c r="A325" s="4" t="s">
        <v>215</v>
      </c>
      <c r="B325" s="4" t="s">
        <v>100</v>
      </c>
      <c r="C325" s="4" t="s">
        <v>875</v>
      </c>
      <c r="D325" s="4">
        <v>40.0</v>
      </c>
      <c r="E325" s="4">
        <v>3.0</v>
      </c>
      <c r="F325" s="4">
        <f t="shared" si="1"/>
        <v>14.9</v>
      </c>
      <c r="G325" s="4" t="s">
        <v>52</v>
      </c>
      <c r="H325" s="4"/>
    </row>
    <row r="326" ht="15.75" customHeight="1">
      <c r="A326" s="4" t="s">
        <v>215</v>
      </c>
      <c r="B326" s="4" t="s">
        <v>100</v>
      </c>
      <c r="C326" s="4" t="s">
        <v>876</v>
      </c>
      <c r="D326" s="4">
        <v>50.0</v>
      </c>
      <c r="E326" s="4">
        <v>8.0</v>
      </c>
      <c r="F326" s="4">
        <f t="shared" si="1"/>
        <v>7.7</v>
      </c>
      <c r="G326" s="4" t="s">
        <v>52</v>
      </c>
      <c r="H326" s="4"/>
    </row>
    <row r="327" ht="15.75" customHeight="1">
      <c r="A327" s="4" t="s">
        <v>215</v>
      </c>
      <c r="B327" s="4" t="s">
        <v>100</v>
      </c>
      <c r="C327" s="4" t="s">
        <v>877</v>
      </c>
      <c r="D327" s="4">
        <v>90.0</v>
      </c>
      <c r="E327" s="4">
        <v>16.0</v>
      </c>
      <c r="F327" s="4">
        <f t="shared" si="1"/>
        <v>7.4</v>
      </c>
      <c r="G327" s="4" t="s">
        <v>52</v>
      </c>
      <c r="H327" s="4"/>
    </row>
    <row r="328" ht="15.75" customHeight="1">
      <c r="A328" s="4" t="s">
        <v>215</v>
      </c>
      <c r="B328" s="4" t="s">
        <v>100</v>
      </c>
      <c r="C328" s="4" t="s">
        <v>878</v>
      </c>
      <c r="D328" s="4">
        <v>90.0</v>
      </c>
      <c r="E328" s="4">
        <v>33.0</v>
      </c>
      <c r="F328" s="4">
        <f t="shared" si="1"/>
        <v>3.9</v>
      </c>
      <c r="G328" s="4" t="s">
        <v>52</v>
      </c>
      <c r="H328" s="4"/>
    </row>
    <row r="329" ht="15.75" customHeight="1">
      <c r="A329" s="4" t="s">
        <v>215</v>
      </c>
      <c r="B329" s="4" t="s">
        <v>100</v>
      </c>
      <c r="C329" s="4" t="s">
        <v>879</v>
      </c>
      <c r="D329" s="4">
        <v>40.0</v>
      </c>
      <c r="E329" s="4">
        <v>29.0</v>
      </c>
      <c r="F329" s="4">
        <f t="shared" si="1"/>
        <v>1.9</v>
      </c>
      <c r="G329" s="4" t="s">
        <v>52</v>
      </c>
      <c r="H329" s="4"/>
    </row>
    <row r="330" ht="15.75" customHeight="1">
      <c r="A330" s="4" t="s">
        <v>215</v>
      </c>
      <c r="B330" s="4" t="s">
        <v>100</v>
      </c>
      <c r="C330" s="4" t="s">
        <v>880</v>
      </c>
      <c r="D330" s="4">
        <v>30.0</v>
      </c>
      <c r="E330" s="4">
        <v>23.0</v>
      </c>
      <c r="F330" s="4">
        <f t="shared" si="1"/>
        <v>1.8</v>
      </c>
      <c r="G330" s="4" t="s">
        <v>52</v>
      </c>
      <c r="H330" s="4"/>
    </row>
    <row r="331" ht="15.75" customHeight="1">
      <c r="A331" s="4" t="s">
        <v>74</v>
      </c>
      <c r="B331" s="4" t="s">
        <v>77</v>
      </c>
      <c r="C331" s="4" t="s">
        <v>881</v>
      </c>
      <c r="D331" s="4">
        <v>3600.0</v>
      </c>
      <c r="E331" s="4">
        <v>23.0</v>
      </c>
      <c r="F331" s="4">
        <f t="shared" si="1"/>
        <v>214.2</v>
      </c>
      <c r="G331" s="4" t="s">
        <v>80</v>
      </c>
      <c r="H331" s="4"/>
    </row>
    <row r="332" ht="15.75" customHeight="1">
      <c r="A332" s="4" t="s">
        <v>74</v>
      </c>
      <c r="B332" s="4" t="s">
        <v>77</v>
      </c>
      <c r="C332" s="4" t="s">
        <v>882</v>
      </c>
      <c r="D332" s="4">
        <v>3600.0</v>
      </c>
      <c r="E332" s="4">
        <v>37.0</v>
      </c>
      <c r="F332" s="4">
        <f t="shared" si="1"/>
        <v>139.6</v>
      </c>
      <c r="G332" s="4" t="s">
        <v>80</v>
      </c>
      <c r="H332" s="4"/>
    </row>
    <row r="333" ht="15.75" customHeight="1">
      <c r="A333" s="4" t="s">
        <v>74</v>
      </c>
      <c r="B333" s="4" t="s">
        <v>77</v>
      </c>
      <c r="C333" s="4" t="s">
        <v>883</v>
      </c>
      <c r="D333" s="4">
        <v>1600.0</v>
      </c>
      <c r="E333" s="4">
        <v>17.0</v>
      </c>
      <c r="F333" s="4">
        <f t="shared" si="1"/>
        <v>124.9</v>
      </c>
      <c r="G333" s="4" t="s">
        <v>80</v>
      </c>
      <c r="H333" s="4"/>
    </row>
    <row r="334" ht="15.75" customHeight="1">
      <c r="A334" s="4" t="s">
        <v>74</v>
      </c>
      <c r="B334" s="4" t="s">
        <v>77</v>
      </c>
      <c r="C334" s="4" t="s">
        <v>884</v>
      </c>
      <c r="D334" s="4">
        <v>1300.0</v>
      </c>
      <c r="E334" s="4">
        <v>24.0</v>
      </c>
      <c r="F334" s="4">
        <f t="shared" si="1"/>
        <v>74.4</v>
      </c>
      <c r="G334" s="4" t="s">
        <v>80</v>
      </c>
      <c r="H334" s="4"/>
    </row>
    <row r="335" ht="15.75" customHeight="1">
      <c r="A335" s="4" t="s">
        <v>74</v>
      </c>
      <c r="B335" s="4" t="s">
        <v>77</v>
      </c>
      <c r="C335" s="4" t="s">
        <v>885</v>
      </c>
      <c r="D335" s="4">
        <v>1600.0</v>
      </c>
      <c r="E335" s="4">
        <v>34.0</v>
      </c>
      <c r="F335" s="4">
        <f t="shared" si="1"/>
        <v>67</v>
      </c>
      <c r="G335" s="4" t="s">
        <v>96</v>
      </c>
      <c r="H335" s="4"/>
    </row>
    <row r="336" ht="15.75" customHeight="1">
      <c r="A336" s="4" t="s">
        <v>74</v>
      </c>
      <c r="B336" s="4" t="s">
        <v>77</v>
      </c>
      <c r="C336" s="4" t="s">
        <v>886</v>
      </c>
      <c r="D336" s="4">
        <v>1300.0</v>
      </c>
      <c r="E336" s="4">
        <v>30.0</v>
      </c>
      <c r="F336" s="4">
        <f t="shared" si="1"/>
        <v>60.9</v>
      </c>
      <c r="G336" s="4" t="s">
        <v>80</v>
      </c>
      <c r="H336" s="4"/>
    </row>
    <row r="337" ht="15.75" customHeight="1">
      <c r="A337" s="4" t="s">
        <v>74</v>
      </c>
      <c r="B337" s="4" t="s">
        <v>77</v>
      </c>
      <c r="C337" s="4" t="s">
        <v>887</v>
      </c>
      <c r="D337" s="4">
        <v>390.0</v>
      </c>
      <c r="E337" s="6">
        <v>13.0</v>
      </c>
      <c r="F337" s="4">
        <f t="shared" si="1"/>
        <v>38.8</v>
      </c>
      <c r="G337" s="4" t="s">
        <v>80</v>
      </c>
      <c r="H337" s="4"/>
    </row>
    <row r="338" ht="15.75" customHeight="1">
      <c r="A338" s="4" t="s">
        <v>74</v>
      </c>
      <c r="B338" s="4" t="s">
        <v>77</v>
      </c>
      <c r="C338" s="4" t="s">
        <v>888</v>
      </c>
      <c r="D338" s="4">
        <v>720.0</v>
      </c>
      <c r="E338" s="4">
        <v>29.0</v>
      </c>
      <c r="F338" s="4">
        <f t="shared" si="1"/>
        <v>34.8</v>
      </c>
      <c r="G338" s="4" t="s">
        <v>96</v>
      </c>
      <c r="H338" s="4"/>
    </row>
    <row r="339" ht="15.75" customHeight="1">
      <c r="A339" s="4" t="s">
        <v>74</v>
      </c>
      <c r="B339" s="4" t="s">
        <v>77</v>
      </c>
      <c r="C339" s="4" t="s">
        <v>889</v>
      </c>
      <c r="D339" s="4">
        <v>880.0</v>
      </c>
      <c r="E339" s="4">
        <v>39.0</v>
      </c>
      <c r="F339" s="4">
        <f t="shared" si="1"/>
        <v>32.5</v>
      </c>
      <c r="G339" s="4" t="s">
        <v>80</v>
      </c>
      <c r="H339" s="4"/>
    </row>
    <row r="340" ht="15.75" customHeight="1">
      <c r="A340" s="4" t="s">
        <v>74</v>
      </c>
      <c r="B340" s="4" t="s">
        <v>77</v>
      </c>
      <c r="C340" s="4" t="s">
        <v>890</v>
      </c>
      <c r="D340" s="4">
        <v>480.0</v>
      </c>
      <c r="E340" s="4">
        <v>21.0</v>
      </c>
      <c r="F340" s="4">
        <f t="shared" si="1"/>
        <v>31</v>
      </c>
      <c r="G340" s="4" t="s">
        <v>80</v>
      </c>
      <c r="H340" s="4"/>
    </row>
    <row r="341" ht="15.75" customHeight="1">
      <c r="A341" s="4" t="s">
        <v>74</v>
      </c>
      <c r="B341" s="4" t="s">
        <v>77</v>
      </c>
      <c r="C341" s="4" t="s">
        <v>891</v>
      </c>
      <c r="D341" s="4">
        <v>720.0</v>
      </c>
      <c r="E341" s="4">
        <v>35.0</v>
      </c>
      <c r="F341" s="4">
        <f t="shared" si="1"/>
        <v>29.4</v>
      </c>
      <c r="G341" s="4" t="s">
        <v>96</v>
      </c>
      <c r="H341" s="4"/>
    </row>
    <row r="342" ht="15.75" customHeight="1">
      <c r="A342" s="4" t="s">
        <v>74</v>
      </c>
      <c r="B342" s="4" t="s">
        <v>77</v>
      </c>
      <c r="C342" s="4" t="s">
        <v>892</v>
      </c>
      <c r="D342" s="4">
        <v>70.0</v>
      </c>
      <c r="E342" s="4">
        <v>3.0</v>
      </c>
      <c r="F342" s="4">
        <f t="shared" si="1"/>
        <v>26</v>
      </c>
      <c r="G342" s="4" t="s">
        <v>80</v>
      </c>
      <c r="H342" s="4"/>
    </row>
    <row r="343" ht="15.75" customHeight="1">
      <c r="A343" s="4" t="s">
        <v>74</v>
      </c>
      <c r="B343" s="4" t="s">
        <v>77</v>
      </c>
      <c r="C343" s="4" t="s">
        <v>893</v>
      </c>
      <c r="D343" s="4">
        <v>390.0</v>
      </c>
      <c r="E343" s="4">
        <v>21.0</v>
      </c>
      <c r="F343" s="4">
        <f t="shared" si="1"/>
        <v>25.2</v>
      </c>
      <c r="G343" s="4" t="s">
        <v>52</v>
      </c>
      <c r="H343" s="4"/>
    </row>
    <row r="344" ht="15.75" customHeight="1">
      <c r="A344" s="4" t="s">
        <v>74</v>
      </c>
      <c r="B344" s="4" t="s">
        <v>77</v>
      </c>
      <c r="C344" s="4" t="s">
        <v>894</v>
      </c>
      <c r="D344" s="4">
        <v>720.0</v>
      </c>
      <c r="E344" s="4">
        <v>42.0</v>
      </c>
      <c r="F344" s="4">
        <f t="shared" si="1"/>
        <v>24.9</v>
      </c>
      <c r="G344" s="4" t="s">
        <v>96</v>
      </c>
      <c r="H344" s="4"/>
    </row>
    <row r="345" ht="15.75" customHeight="1">
      <c r="A345" s="4" t="s">
        <v>74</v>
      </c>
      <c r="B345" s="4" t="s">
        <v>77</v>
      </c>
      <c r="C345" s="4" t="s">
        <v>895</v>
      </c>
      <c r="D345" s="4">
        <v>480.0</v>
      </c>
      <c r="E345" s="4">
        <v>28.0</v>
      </c>
      <c r="F345" s="4">
        <f t="shared" si="1"/>
        <v>23.9</v>
      </c>
      <c r="G345" s="4" t="s">
        <v>80</v>
      </c>
      <c r="H345" s="4"/>
    </row>
    <row r="346" ht="15.75" customHeight="1">
      <c r="A346" s="4" t="s">
        <v>74</v>
      </c>
      <c r="B346" s="4" t="s">
        <v>77</v>
      </c>
      <c r="C346" s="4" t="s">
        <v>896</v>
      </c>
      <c r="D346" s="4">
        <v>320.0</v>
      </c>
      <c r="E346" s="4">
        <v>20.0</v>
      </c>
      <c r="F346" s="4">
        <f t="shared" si="1"/>
        <v>21.6</v>
      </c>
      <c r="G346" s="4" t="s">
        <v>80</v>
      </c>
      <c r="H346" s="4"/>
    </row>
    <row r="347" ht="15.75" customHeight="1">
      <c r="A347" s="4" t="s">
        <v>74</v>
      </c>
      <c r="B347" s="4" t="s">
        <v>77</v>
      </c>
      <c r="C347" s="4" t="s">
        <v>897</v>
      </c>
      <c r="D347" s="4">
        <v>320.0</v>
      </c>
      <c r="E347" s="4">
        <v>27.0</v>
      </c>
      <c r="F347" s="4">
        <f t="shared" si="1"/>
        <v>16.5</v>
      </c>
      <c r="G347" s="4" t="s">
        <v>80</v>
      </c>
      <c r="H347" s="4"/>
    </row>
    <row r="348" ht="15.75" customHeight="1">
      <c r="A348" s="4" t="s">
        <v>74</v>
      </c>
      <c r="B348" s="4" t="s">
        <v>77</v>
      </c>
      <c r="C348" s="4" t="s">
        <v>898</v>
      </c>
      <c r="D348" s="4">
        <v>170.0</v>
      </c>
      <c r="E348" s="4">
        <v>14.0</v>
      </c>
      <c r="F348" s="4">
        <f t="shared" si="1"/>
        <v>15.8</v>
      </c>
      <c r="G348" s="4" t="s">
        <v>80</v>
      </c>
      <c r="H348" s="4"/>
    </row>
    <row r="349" ht="15.75" customHeight="1">
      <c r="A349" s="4" t="s">
        <v>74</v>
      </c>
      <c r="B349" s="4" t="s">
        <v>77</v>
      </c>
      <c r="C349" s="4" t="s">
        <v>899</v>
      </c>
      <c r="D349" s="4">
        <v>210.0</v>
      </c>
      <c r="E349" s="4">
        <v>20.0</v>
      </c>
      <c r="F349" s="4">
        <f t="shared" si="1"/>
        <v>14.2</v>
      </c>
      <c r="G349" s="4" t="s">
        <v>80</v>
      </c>
      <c r="H349" s="4"/>
    </row>
    <row r="350" ht="15.75" customHeight="1">
      <c r="A350" s="4" t="s">
        <v>74</v>
      </c>
      <c r="B350" s="4" t="s">
        <v>77</v>
      </c>
      <c r="C350" s="4" t="s">
        <v>900</v>
      </c>
      <c r="D350" s="4">
        <v>320.0</v>
      </c>
      <c r="E350" s="4">
        <v>33.0</v>
      </c>
      <c r="F350" s="4">
        <f t="shared" si="1"/>
        <v>13.8</v>
      </c>
      <c r="G350" s="4" t="s">
        <v>80</v>
      </c>
      <c r="H350" s="4"/>
    </row>
    <row r="351" ht="15.75" customHeight="1">
      <c r="A351" s="4" t="s">
        <v>74</v>
      </c>
      <c r="B351" s="4" t="s">
        <v>77</v>
      </c>
      <c r="C351" s="4" t="s">
        <v>901</v>
      </c>
      <c r="D351" s="4">
        <v>210.0</v>
      </c>
      <c r="E351" s="4">
        <v>24.0</v>
      </c>
      <c r="F351" s="4">
        <f t="shared" si="1"/>
        <v>12</v>
      </c>
      <c r="G351" s="4" t="s">
        <v>80</v>
      </c>
      <c r="H351" s="4"/>
    </row>
    <row r="352" ht="15.75" customHeight="1">
      <c r="A352" s="4" t="s">
        <v>74</v>
      </c>
      <c r="B352" s="4" t="s">
        <v>77</v>
      </c>
      <c r="C352" s="4" t="s">
        <v>902</v>
      </c>
      <c r="D352" s="4">
        <v>110.0</v>
      </c>
      <c r="E352" s="4">
        <v>12.0</v>
      </c>
      <c r="F352" s="4">
        <f t="shared" si="1"/>
        <v>11.8</v>
      </c>
      <c r="G352" s="4" t="s">
        <v>80</v>
      </c>
      <c r="H352" s="4"/>
    </row>
    <row r="353" ht="15.75" customHeight="1">
      <c r="A353" s="4" t="s">
        <v>74</v>
      </c>
      <c r="B353" s="4" t="s">
        <v>77</v>
      </c>
      <c r="C353" s="4" t="s">
        <v>903</v>
      </c>
      <c r="D353" s="4">
        <v>140.0</v>
      </c>
      <c r="E353" s="4">
        <v>16.0</v>
      </c>
      <c r="F353" s="4">
        <f t="shared" si="1"/>
        <v>11.5</v>
      </c>
      <c r="G353" s="4" t="s">
        <v>96</v>
      </c>
      <c r="H353" s="4"/>
    </row>
    <row r="354" ht="15.75" customHeight="1">
      <c r="A354" s="4" t="s">
        <v>74</v>
      </c>
      <c r="B354" s="4" t="s">
        <v>77</v>
      </c>
      <c r="C354" s="4" t="s">
        <v>904</v>
      </c>
      <c r="D354" s="4">
        <v>210.0</v>
      </c>
      <c r="E354" s="4">
        <v>26.0</v>
      </c>
      <c r="F354" s="4">
        <f t="shared" si="1"/>
        <v>11.2</v>
      </c>
      <c r="G354" s="4" t="s">
        <v>80</v>
      </c>
      <c r="H354" s="4"/>
    </row>
    <row r="355" ht="15.75" customHeight="1">
      <c r="A355" s="4" t="s">
        <v>74</v>
      </c>
      <c r="B355" s="4" t="s">
        <v>77</v>
      </c>
      <c r="C355" s="4" t="s">
        <v>905</v>
      </c>
      <c r="D355" s="4">
        <v>260.0</v>
      </c>
      <c r="E355" s="4">
        <v>33.0</v>
      </c>
      <c r="F355" s="4">
        <f t="shared" si="1"/>
        <v>11.2</v>
      </c>
      <c r="G355" s="4" t="s">
        <v>52</v>
      </c>
      <c r="H355" s="4"/>
    </row>
    <row r="356" ht="15.75" customHeight="1">
      <c r="A356" s="4" t="s">
        <v>74</v>
      </c>
      <c r="B356" s="4" t="s">
        <v>77</v>
      </c>
      <c r="C356" s="4" t="s">
        <v>906</v>
      </c>
      <c r="D356" s="4">
        <v>70.0</v>
      </c>
      <c r="E356" s="4">
        <v>8.0</v>
      </c>
      <c r="F356" s="4">
        <f t="shared" si="1"/>
        <v>10.8</v>
      </c>
      <c r="G356" s="4" t="s">
        <v>80</v>
      </c>
      <c r="H356" s="4"/>
    </row>
    <row r="357" ht="15.75" customHeight="1">
      <c r="A357" s="4" t="s">
        <v>74</v>
      </c>
      <c r="B357" s="4" t="s">
        <v>77</v>
      </c>
      <c r="C357" s="4" t="s">
        <v>907</v>
      </c>
      <c r="D357" s="4">
        <v>110.0</v>
      </c>
      <c r="E357" s="4">
        <v>16.0</v>
      </c>
      <c r="F357" s="4">
        <f t="shared" si="1"/>
        <v>9.1</v>
      </c>
      <c r="G357" s="4" t="s">
        <v>96</v>
      </c>
      <c r="H357" s="4"/>
    </row>
    <row r="358" ht="15.75" customHeight="1">
      <c r="A358" s="4" t="s">
        <v>74</v>
      </c>
      <c r="B358" s="4" t="s">
        <v>77</v>
      </c>
      <c r="C358" s="4" t="s">
        <v>908</v>
      </c>
      <c r="D358" s="4">
        <v>140.0</v>
      </c>
      <c r="E358" s="4">
        <v>22.0</v>
      </c>
      <c r="F358" s="4">
        <f t="shared" si="1"/>
        <v>8.7</v>
      </c>
      <c r="G358" s="4" t="s">
        <v>96</v>
      </c>
      <c r="H358" s="4"/>
    </row>
    <row r="359" ht="15.75" customHeight="1">
      <c r="A359" s="4" t="s">
        <v>74</v>
      </c>
      <c r="B359" s="4" t="s">
        <v>77</v>
      </c>
      <c r="C359" s="4" t="s">
        <v>909</v>
      </c>
      <c r="D359" s="4">
        <v>110.0</v>
      </c>
      <c r="E359" s="4">
        <v>17.0</v>
      </c>
      <c r="F359" s="4">
        <f t="shared" si="1"/>
        <v>8.6</v>
      </c>
      <c r="G359" s="4" t="s">
        <v>80</v>
      </c>
      <c r="H359" s="4"/>
    </row>
    <row r="360" ht="15.75" customHeight="1">
      <c r="A360" s="4" t="s">
        <v>74</v>
      </c>
      <c r="B360" s="4" t="s">
        <v>77</v>
      </c>
      <c r="C360" s="4" t="s">
        <v>910</v>
      </c>
      <c r="D360" s="4">
        <v>110.0</v>
      </c>
      <c r="E360" s="4">
        <v>17.0</v>
      </c>
      <c r="F360" s="4">
        <f t="shared" si="1"/>
        <v>8.6</v>
      </c>
      <c r="G360" s="4" t="s">
        <v>80</v>
      </c>
      <c r="H360" s="4"/>
    </row>
    <row r="361" ht="15.75" customHeight="1">
      <c r="A361" s="4" t="s">
        <v>74</v>
      </c>
      <c r="B361" s="4" t="s">
        <v>77</v>
      </c>
      <c r="C361" s="4" t="s">
        <v>911</v>
      </c>
      <c r="D361" s="4">
        <v>170.0</v>
      </c>
      <c r="E361" s="4">
        <v>28.0</v>
      </c>
      <c r="F361" s="4">
        <f t="shared" si="1"/>
        <v>8.5</v>
      </c>
      <c r="G361" s="4" t="s">
        <v>96</v>
      </c>
      <c r="H361" s="4"/>
    </row>
    <row r="362" ht="15.75" customHeight="1">
      <c r="A362" s="4" t="s">
        <v>74</v>
      </c>
      <c r="B362" s="4" t="s">
        <v>77</v>
      </c>
      <c r="C362" s="4" t="s">
        <v>912</v>
      </c>
      <c r="D362" s="4">
        <v>210.0</v>
      </c>
      <c r="E362" s="4">
        <v>36.0</v>
      </c>
      <c r="F362" s="4">
        <f t="shared" si="1"/>
        <v>8.3</v>
      </c>
      <c r="G362" s="4" t="s">
        <v>96</v>
      </c>
      <c r="H362" s="4"/>
    </row>
    <row r="363" ht="15.75" customHeight="1">
      <c r="A363" s="4" t="s">
        <v>74</v>
      </c>
      <c r="B363" s="4" t="s">
        <v>77</v>
      </c>
      <c r="C363" s="4" t="s">
        <v>913</v>
      </c>
      <c r="D363" s="4">
        <v>110.0</v>
      </c>
      <c r="E363" s="4">
        <v>18.0</v>
      </c>
      <c r="F363" s="4">
        <f t="shared" si="1"/>
        <v>8.2</v>
      </c>
      <c r="G363" s="4" t="s">
        <v>79</v>
      </c>
      <c r="H363" s="4"/>
    </row>
    <row r="364" ht="15.75" customHeight="1">
      <c r="A364" s="4" t="s">
        <v>74</v>
      </c>
      <c r="B364" s="4" t="s">
        <v>77</v>
      </c>
      <c r="C364" s="4" t="s">
        <v>914</v>
      </c>
      <c r="D364" s="4">
        <v>210.0</v>
      </c>
      <c r="E364" s="4">
        <v>37.0</v>
      </c>
      <c r="F364" s="4">
        <f t="shared" si="1"/>
        <v>8.1</v>
      </c>
      <c r="G364" s="4" t="s">
        <v>52</v>
      </c>
      <c r="H364" s="4"/>
    </row>
    <row r="365" ht="15.75" customHeight="1">
      <c r="A365" s="4" t="s">
        <v>74</v>
      </c>
      <c r="B365" s="4" t="s">
        <v>77</v>
      </c>
      <c r="C365" s="4" t="s">
        <v>915</v>
      </c>
      <c r="D365" s="4">
        <v>170.0</v>
      </c>
      <c r="E365" s="4">
        <v>30.0</v>
      </c>
      <c r="F365" s="4">
        <f t="shared" si="1"/>
        <v>8</v>
      </c>
      <c r="G365" s="4" t="s">
        <v>80</v>
      </c>
      <c r="H365" s="4"/>
    </row>
    <row r="366" ht="15.75" customHeight="1">
      <c r="A366" s="4" t="s">
        <v>74</v>
      </c>
      <c r="B366" s="4" t="s">
        <v>77</v>
      </c>
      <c r="C366" s="4" t="s">
        <v>916</v>
      </c>
      <c r="D366" s="4">
        <v>140.0</v>
      </c>
      <c r="E366" s="4">
        <v>29.0</v>
      </c>
      <c r="F366" s="4">
        <f t="shared" si="1"/>
        <v>6.8</v>
      </c>
      <c r="G366" s="4" t="s">
        <v>96</v>
      </c>
      <c r="H366" s="4"/>
    </row>
    <row r="367" ht="15.75" customHeight="1">
      <c r="A367" s="4" t="s">
        <v>74</v>
      </c>
      <c r="B367" s="4" t="s">
        <v>77</v>
      </c>
      <c r="C367" s="4" t="s">
        <v>917</v>
      </c>
      <c r="D367" s="4">
        <v>110.0</v>
      </c>
      <c r="E367" s="4">
        <v>25.0</v>
      </c>
      <c r="F367" s="4">
        <f t="shared" si="1"/>
        <v>6.1</v>
      </c>
      <c r="G367" s="4" t="s">
        <v>96</v>
      </c>
      <c r="H367" s="4"/>
    </row>
    <row r="368" ht="15.75" customHeight="1">
      <c r="A368" s="4" t="s">
        <v>74</v>
      </c>
      <c r="B368" s="4" t="s">
        <v>77</v>
      </c>
      <c r="C368" s="4" t="s">
        <v>918</v>
      </c>
      <c r="D368" s="4">
        <v>110.0</v>
      </c>
      <c r="E368" s="4">
        <v>27.0</v>
      </c>
      <c r="F368" s="4">
        <f t="shared" si="1"/>
        <v>5.7</v>
      </c>
      <c r="G368" s="4" t="s">
        <v>80</v>
      </c>
      <c r="H368" s="4"/>
    </row>
    <row r="369" ht="15.75" customHeight="1">
      <c r="A369" s="4" t="s">
        <v>74</v>
      </c>
      <c r="B369" s="4" t="s">
        <v>77</v>
      </c>
      <c r="C369" s="4" t="s">
        <v>919</v>
      </c>
      <c r="D369" s="4">
        <v>110.0</v>
      </c>
      <c r="E369" s="4">
        <v>28.0</v>
      </c>
      <c r="F369" s="4">
        <f t="shared" si="1"/>
        <v>5.5</v>
      </c>
      <c r="G369" s="4" t="s">
        <v>96</v>
      </c>
      <c r="H369" s="4"/>
    </row>
    <row r="370" ht="15.75" customHeight="1">
      <c r="A370" s="4" t="s">
        <v>74</v>
      </c>
      <c r="B370" s="4" t="s">
        <v>77</v>
      </c>
      <c r="C370" s="4" t="s">
        <v>920</v>
      </c>
      <c r="D370" s="4">
        <v>90.0</v>
      </c>
      <c r="E370" s="4">
        <v>23.0</v>
      </c>
      <c r="F370" s="4">
        <f t="shared" si="1"/>
        <v>5.4</v>
      </c>
      <c r="G370" s="4" t="s">
        <v>80</v>
      </c>
      <c r="H370" s="4"/>
    </row>
    <row r="371" ht="15.75" customHeight="1">
      <c r="A371" s="4" t="s">
        <v>74</v>
      </c>
      <c r="B371" s="4" t="s">
        <v>77</v>
      </c>
      <c r="C371" s="4" t="s">
        <v>921</v>
      </c>
      <c r="D371" s="4">
        <v>30.0</v>
      </c>
      <c r="E371" s="4">
        <v>7.0</v>
      </c>
      <c r="F371" s="4">
        <f t="shared" si="1"/>
        <v>5.2</v>
      </c>
      <c r="G371" s="4" t="s">
        <v>52</v>
      </c>
      <c r="H371" s="4"/>
    </row>
    <row r="372" ht="15.75" customHeight="1">
      <c r="A372" s="4" t="s">
        <v>74</v>
      </c>
      <c r="B372" s="4" t="s">
        <v>77</v>
      </c>
      <c r="C372" s="4" t="s">
        <v>922</v>
      </c>
      <c r="D372" s="4">
        <v>110.0</v>
      </c>
      <c r="E372" s="4">
        <v>31.0</v>
      </c>
      <c r="F372" s="4">
        <f t="shared" si="1"/>
        <v>5</v>
      </c>
      <c r="G372" s="4" t="s">
        <v>80</v>
      </c>
      <c r="H372" s="4"/>
    </row>
    <row r="373" ht="15.75" customHeight="1">
      <c r="A373" s="4" t="s">
        <v>74</v>
      </c>
      <c r="B373" s="4" t="s">
        <v>77</v>
      </c>
      <c r="C373" s="4" t="s">
        <v>923</v>
      </c>
      <c r="D373" s="4">
        <v>50.0</v>
      </c>
      <c r="E373" s="4">
        <v>14.0</v>
      </c>
      <c r="F373" s="4">
        <f t="shared" si="1"/>
        <v>4.7</v>
      </c>
      <c r="G373" s="4" t="s">
        <v>80</v>
      </c>
      <c r="H373" s="4"/>
    </row>
    <row r="374" ht="15.75" customHeight="1">
      <c r="A374" s="4" t="s">
        <v>74</v>
      </c>
      <c r="B374" s="4" t="s">
        <v>77</v>
      </c>
      <c r="C374" s="4" t="s">
        <v>924</v>
      </c>
      <c r="D374" s="4">
        <v>70.0</v>
      </c>
      <c r="E374" s="4">
        <v>21.0</v>
      </c>
      <c r="F374" s="4">
        <f t="shared" si="1"/>
        <v>4.5</v>
      </c>
      <c r="G374" s="4" t="s">
        <v>80</v>
      </c>
      <c r="H374" s="4"/>
    </row>
    <row r="375" ht="15.75" customHeight="1">
      <c r="A375" s="4" t="s">
        <v>74</v>
      </c>
      <c r="B375" s="4" t="s">
        <v>77</v>
      </c>
      <c r="C375" s="4" t="s">
        <v>925</v>
      </c>
      <c r="D375" s="4">
        <v>70.0</v>
      </c>
      <c r="E375" s="4">
        <v>21.0</v>
      </c>
      <c r="F375" s="4">
        <f t="shared" si="1"/>
        <v>4.5</v>
      </c>
      <c r="G375" s="4" t="s">
        <v>52</v>
      </c>
      <c r="H375" s="4"/>
    </row>
    <row r="376" ht="15.75" customHeight="1">
      <c r="A376" s="4" t="s">
        <v>74</v>
      </c>
      <c r="B376" s="4" t="s">
        <v>77</v>
      </c>
      <c r="C376" s="4" t="s">
        <v>926</v>
      </c>
      <c r="D376" s="4">
        <v>70.0</v>
      </c>
      <c r="E376" s="4">
        <v>25.0</v>
      </c>
      <c r="F376" s="4">
        <f t="shared" si="1"/>
        <v>3.9</v>
      </c>
      <c r="G376" s="4" t="s">
        <v>79</v>
      </c>
      <c r="H376" s="4"/>
    </row>
    <row r="377" ht="15.75" customHeight="1">
      <c r="A377" s="4" t="s">
        <v>74</v>
      </c>
      <c r="B377" s="4" t="s">
        <v>77</v>
      </c>
      <c r="C377" s="4" t="s">
        <v>927</v>
      </c>
      <c r="D377" s="4">
        <v>70.0</v>
      </c>
      <c r="E377" s="4">
        <v>30.0</v>
      </c>
      <c r="F377" s="4">
        <f t="shared" si="1"/>
        <v>3.3</v>
      </c>
      <c r="G377" s="4" t="s">
        <v>80</v>
      </c>
      <c r="H377" s="4"/>
    </row>
    <row r="378" ht="15.75" customHeight="1">
      <c r="A378" s="4" t="s">
        <v>74</v>
      </c>
      <c r="B378" s="4" t="s">
        <v>77</v>
      </c>
      <c r="C378" s="4" t="s">
        <v>928</v>
      </c>
      <c r="D378" s="4">
        <v>70.0</v>
      </c>
      <c r="E378" s="4">
        <v>35.0</v>
      </c>
      <c r="F378" s="4">
        <f t="shared" si="1"/>
        <v>2.9</v>
      </c>
      <c r="G378" s="4" t="s">
        <v>80</v>
      </c>
      <c r="H378" s="4"/>
    </row>
    <row r="379" ht="15.75" customHeight="1">
      <c r="A379" s="4" t="s">
        <v>74</v>
      </c>
      <c r="B379" s="4" t="s">
        <v>77</v>
      </c>
      <c r="C379" s="4" t="s">
        <v>929</v>
      </c>
      <c r="D379" s="4">
        <v>50.0</v>
      </c>
      <c r="E379" s="4">
        <v>27.0</v>
      </c>
      <c r="F379" s="4">
        <f t="shared" si="1"/>
        <v>2.6</v>
      </c>
      <c r="G379" s="4" t="s">
        <v>96</v>
      </c>
      <c r="H379" s="4"/>
    </row>
    <row r="380" ht="15.75" customHeight="1">
      <c r="A380" s="4" t="s">
        <v>74</v>
      </c>
      <c r="B380" s="4" t="s">
        <v>77</v>
      </c>
      <c r="C380" s="4" t="s">
        <v>930</v>
      </c>
      <c r="D380" s="4">
        <v>30.0</v>
      </c>
      <c r="E380" s="4">
        <v>15.0</v>
      </c>
      <c r="F380" s="4">
        <f t="shared" si="1"/>
        <v>2.6</v>
      </c>
      <c r="G380" s="4" t="s">
        <v>80</v>
      </c>
      <c r="H380" s="4"/>
    </row>
    <row r="381" ht="15.75" customHeight="1">
      <c r="A381" s="4" t="s">
        <v>74</v>
      </c>
      <c r="B381" s="4" t="s">
        <v>77</v>
      </c>
      <c r="C381" s="4" t="s">
        <v>931</v>
      </c>
      <c r="D381" s="4">
        <v>40.0</v>
      </c>
      <c r="E381" s="4">
        <v>24.0</v>
      </c>
      <c r="F381" s="4">
        <f t="shared" si="1"/>
        <v>2.3</v>
      </c>
      <c r="G381" s="4" t="s">
        <v>80</v>
      </c>
      <c r="H381" s="4"/>
    </row>
    <row r="382" ht="15.75" customHeight="1">
      <c r="A382" s="4" t="s">
        <v>74</v>
      </c>
      <c r="B382" s="4" t="s">
        <v>77</v>
      </c>
      <c r="C382" s="4" t="s">
        <v>932</v>
      </c>
      <c r="D382" s="4">
        <v>30.0</v>
      </c>
      <c r="E382" s="4">
        <v>18.0</v>
      </c>
      <c r="F382" s="4">
        <f t="shared" si="1"/>
        <v>2.2</v>
      </c>
      <c r="G382" s="4" t="s">
        <v>80</v>
      </c>
      <c r="H382" s="4"/>
    </row>
    <row r="383" ht="15.75" customHeight="1">
      <c r="A383" s="4" t="s">
        <v>74</v>
      </c>
      <c r="B383" s="4" t="s">
        <v>77</v>
      </c>
      <c r="C383" s="4" t="s">
        <v>933</v>
      </c>
      <c r="D383" s="4">
        <v>30.0</v>
      </c>
      <c r="E383" s="4">
        <v>19.0</v>
      </c>
      <c r="F383" s="4">
        <f t="shared" si="1"/>
        <v>2.1</v>
      </c>
      <c r="G383" s="4" t="s">
        <v>96</v>
      </c>
      <c r="H383" s="4"/>
    </row>
    <row r="384" ht="15.75" customHeight="1">
      <c r="A384" s="4" t="s">
        <v>74</v>
      </c>
      <c r="B384" s="4" t="s">
        <v>77</v>
      </c>
      <c r="C384" s="4" t="s">
        <v>934</v>
      </c>
      <c r="D384" s="4">
        <v>40.0</v>
      </c>
      <c r="E384" s="4">
        <v>28.0</v>
      </c>
      <c r="F384" s="4">
        <f t="shared" si="1"/>
        <v>2</v>
      </c>
      <c r="G384" s="4" t="s">
        <v>80</v>
      </c>
      <c r="H384" s="4"/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9.0"/>
    <col customWidth="1" min="3" max="3" width="8.0"/>
    <col customWidth="1" min="4" max="4" width="26.0"/>
    <col customWidth="1" min="5" max="5" width="46.0"/>
    <col customWidth="1" min="6" max="6" width="72.0"/>
    <col customWidth="1" min="7" max="26" width="8.71"/>
  </cols>
  <sheetData>
    <row r="1">
      <c r="A1" s="1" t="s">
        <v>9</v>
      </c>
    </row>
    <row r="2">
      <c r="A2" s="2" t="s">
        <v>13</v>
      </c>
    </row>
    <row r="4" ht="27.75" customHeight="1">
      <c r="A4" s="5" t="s">
        <v>19</v>
      </c>
      <c r="B4" s="5" t="s">
        <v>23</v>
      </c>
      <c r="C4" s="5" t="s">
        <v>25</v>
      </c>
      <c r="D4" s="5" t="s">
        <v>28</v>
      </c>
      <c r="E4" s="5" t="s">
        <v>17</v>
      </c>
      <c r="F4" s="5" t="s">
        <v>34</v>
      </c>
    </row>
    <row r="5">
      <c r="A5" s="6" t="s">
        <v>39</v>
      </c>
      <c r="B5" s="6">
        <v>1900.0</v>
      </c>
      <c r="C5" s="6">
        <v>10.0</v>
      </c>
      <c r="D5" s="6" t="s">
        <v>52</v>
      </c>
      <c r="E5" s="6" t="s">
        <v>53</v>
      </c>
      <c r="F5" s="8" t="s">
        <v>55</v>
      </c>
    </row>
    <row r="6">
      <c r="A6" s="6" t="s">
        <v>56</v>
      </c>
      <c r="B6" s="6">
        <v>720.0</v>
      </c>
      <c r="C6" s="6">
        <v>9.0</v>
      </c>
      <c r="D6" s="6" t="s">
        <v>52</v>
      </c>
      <c r="E6" s="6" t="s">
        <v>53</v>
      </c>
      <c r="F6" s="8" t="s">
        <v>57</v>
      </c>
    </row>
    <row r="7">
      <c r="A7" s="6" t="s">
        <v>58</v>
      </c>
      <c r="B7" s="6">
        <v>590.0</v>
      </c>
      <c r="C7" s="6">
        <v>8.0</v>
      </c>
      <c r="D7" s="6" t="s">
        <v>52</v>
      </c>
      <c r="E7" s="6" t="s">
        <v>53</v>
      </c>
      <c r="F7" s="8" t="s">
        <v>59</v>
      </c>
    </row>
    <row r="8">
      <c r="A8" s="4" t="s">
        <v>60</v>
      </c>
      <c r="B8" s="4">
        <v>170.0</v>
      </c>
      <c r="C8" s="4">
        <v>16.0</v>
      </c>
      <c r="D8" s="4" t="s">
        <v>52</v>
      </c>
      <c r="E8" s="4" t="s">
        <v>61</v>
      </c>
      <c r="F8" s="9" t="s">
        <v>62</v>
      </c>
    </row>
    <row r="9">
      <c r="A9" s="4" t="s">
        <v>63</v>
      </c>
      <c r="B9" s="4">
        <v>70.0</v>
      </c>
      <c r="C9" s="4">
        <v>28.0</v>
      </c>
      <c r="D9" s="4" t="s">
        <v>52</v>
      </c>
      <c r="E9" s="4" t="s">
        <v>61</v>
      </c>
      <c r="F9" s="9" t="s">
        <v>65</v>
      </c>
    </row>
    <row r="10">
      <c r="A10" s="4" t="s">
        <v>66</v>
      </c>
      <c r="B10" s="4">
        <v>40.0</v>
      </c>
      <c r="C10" s="4">
        <v>20.0</v>
      </c>
      <c r="D10" s="4" t="s">
        <v>52</v>
      </c>
      <c r="E10" s="4" t="s">
        <v>61</v>
      </c>
      <c r="F10" s="9" t="s">
        <v>67</v>
      </c>
    </row>
    <row r="11">
      <c r="A11" s="4" t="s">
        <v>68</v>
      </c>
      <c r="B11" s="4">
        <v>30.0</v>
      </c>
      <c r="C11" s="4">
        <v>21.0</v>
      </c>
      <c r="D11" s="4" t="s">
        <v>52</v>
      </c>
      <c r="E11" s="4" t="s">
        <v>61</v>
      </c>
      <c r="F11" s="9" t="s">
        <v>71</v>
      </c>
    </row>
    <row r="12">
      <c r="A12" s="4" t="s">
        <v>73</v>
      </c>
      <c r="B12" s="4">
        <v>30.0</v>
      </c>
      <c r="C12" s="4">
        <v>8.0</v>
      </c>
      <c r="D12" s="4" t="s">
        <v>52</v>
      </c>
      <c r="E12" s="4" t="s">
        <v>61</v>
      </c>
      <c r="F12" s="9" t="s">
        <v>76</v>
      </c>
    </row>
    <row r="13">
      <c r="A13" s="4" t="s">
        <v>78</v>
      </c>
      <c r="B13" s="4">
        <v>50.0</v>
      </c>
      <c r="C13" s="4">
        <v>28.0</v>
      </c>
      <c r="D13" s="4" t="s">
        <v>80</v>
      </c>
      <c r="E13" s="4" t="s">
        <v>81</v>
      </c>
      <c r="F13" s="9" t="s">
        <v>82</v>
      </c>
    </row>
    <row r="14">
      <c r="A14" s="4" t="s">
        <v>84</v>
      </c>
      <c r="B14" s="4" t="s">
        <v>85</v>
      </c>
      <c r="C14" s="4" t="s">
        <v>85</v>
      </c>
      <c r="D14" s="4" t="s">
        <v>52</v>
      </c>
      <c r="E14" s="4" t="s">
        <v>86</v>
      </c>
      <c r="F14" s="9" t="s">
        <v>88</v>
      </c>
    </row>
    <row r="15">
      <c r="A15" s="4" t="s">
        <v>90</v>
      </c>
      <c r="B15" s="4" t="s">
        <v>85</v>
      </c>
      <c r="C15" s="4" t="s">
        <v>85</v>
      </c>
      <c r="D15" s="4" t="s">
        <v>52</v>
      </c>
      <c r="E15" s="4" t="s">
        <v>86</v>
      </c>
      <c r="F15" s="9" t="s">
        <v>93</v>
      </c>
    </row>
    <row r="16">
      <c r="A16" s="4" t="s">
        <v>95</v>
      </c>
      <c r="B16" s="4" t="s">
        <v>85</v>
      </c>
      <c r="C16" s="4" t="s">
        <v>85</v>
      </c>
      <c r="D16" s="4" t="s">
        <v>52</v>
      </c>
      <c r="E16" s="4" t="s">
        <v>100</v>
      </c>
      <c r="F16" s="9" t="s">
        <v>101</v>
      </c>
    </row>
    <row r="17">
      <c r="A17" s="4" t="s">
        <v>103</v>
      </c>
      <c r="B17" s="4" t="s">
        <v>85</v>
      </c>
      <c r="C17" s="4" t="s">
        <v>85</v>
      </c>
      <c r="D17" s="4" t="s">
        <v>52</v>
      </c>
      <c r="E17" s="4" t="s">
        <v>100</v>
      </c>
      <c r="F17" s="9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6.0"/>
    <col customWidth="1" min="2" max="2" width="9.0"/>
    <col customWidth="1" min="3" max="3" width="8.0"/>
    <col customWidth="1" min="4" max="4" width="24.0"/>
    <col customWidth="1" min="5" max="5" width="46.0"/>
    <col customWidth="1" min="6" max="26" width="8.71"/>
  </cols>
  <sheetData>
    <row r="1">
      <c r="A1" s="1" t="s">
        <v>125</v>
      </c>
    </row>
    <row r="2">
      <c r="A2" s="2" t="s">
        <v>126</v>
      </c>
    </row>
    <row r="4" ht="27.75" customHeight="1">
      <c r="A4" s="5" t="s">
        <v>19</v>
      </c>
      <c r="B4" s="5" t="s">
        <v>23</v>
      </c>
      <c r="C4" s="5" t="s">
        <v>25</v>
      </c>
      <c r="D4" s="5" t="s">
        <v>28</v>
      </c>
      <c r="E4" s="5" t="s">
        <v>129</v>
      </c>
    </row>
    <row r="5">
      <c r="A5" s="4" t="s">
        <v>132</v>
      </c>
      <c r="B5" s="4">
        <v>3600.0</v>
      </c>
      <c r="C5" s="4">
        <v>40.0</v>
      </c>
      <c r="D5" s="4" t="s">
        <v>80</v>
      </c>
      <c r="E5" s="12" t="s">
        <v>133</v>
      </c>
    </row>
    <row r="6">
      <c r="A6" s="4" t="s">
        <v>135</v>
      </c>
      <c r="B6" s="4">
        <v>1600.0</v>
      </c>
      <c r="C6" s="4">
        <v>20.0</v>
      </c>
      <c r="D6" s="4" t="s">
        <v>80</v>
      </c>
      <c r="E6" s="12" t="s">
        <v>133</v>
      </c>
    </row>
    <row r="7">
      <c r="A7" s="4" t="s">
        <v>137</v>
      </c>
      <c r="B7" s="4">
        <v>1600.0</v>
      </c>
      <c r="C7" s="4">
        <v>29.0</v>
      </c>
      <c r="D7" s="4" t="s">
        <v>80</v>
      </c>
      <c r="E7" s="12" t="s">
        <v>133</v>
      </c>
    </row>
    <row r="8">
      <c r="A8" s="4" t="s">
        <v>140</v>
      </c>
      <c r="B8" s="4">
        <v>720.0</v>
      </c>
      <c r="C8" s="4">
        <v>9.0</v>
      </c>
      <c r="D8" s="4" t="s">
        <v>52</v>
      </c>
      <c r="E8" s="12" t="s">
        <v>133</v>
      </c>
    </row>
    <row r="9">
      <c r="A9" s="4" t="s">
        <v>143</v>
      </c>
      <c r="B9" s="4">
        <v>480.0</v>
      </c>
      <c r="C9" s="4">
        <v>18.0</v>
      </c>
      <c r="D9" s="4" t="s">
        <v>80</v>
      </c>
      <c r="E9" s="12" t="s">
        <v>133</v>
      </c>
    </row>
    <row r="10">
      <c r="A10" s="4" t="s">
        <v>145</v>
      </c>
      <c r="B10" s="4">
        <v>480.0</v>
      </c>
      <c r="C10" s="4">
        <v>22.0</v>
      </c>
      <c r="D10" s="4" t="s">
        <v>80</v>
      </c>
      <c r="E10" s="12" t="s">
        <v>133</v>
      </c>
    </row>
    <row r="11">
      <c r="A11" s="4" t="s">
        <v>148</v>
      </c>
      <c r="B11" s="4">
        <v>390.0</v>
      </c>
      <c r="C11" s="4">
        <v>14.0</v>
      </c>
      <c r="D11" s="4" t="s">
        <v>96</v>
      </c>
      <c r="E11" s="12" t="s">
        <v>133</v>
      </c>
    </row>
    <row r="12">
      <c r="A12" s="4" t="s">
        <v>150</v>
      </c>
      <c r="B12" s="4">
        <v>320.0</v>
      </c>
      <c r="C12" s="4">
        <v>13.0</v>
      </c>
      <c r="D12" s="4" t="s">
        <v>96</v>
      </c>
      <c r="E12" s="12" t="s">
        <v>133</v>
      </c>
    </row>
    <row r="13">
      <c r="A13" s="4" t="s">
        <v>151</v>
      </c>
      <c r="B13" s="4">
        <v>320.0</v>
      </c>
      <c r="C13" s="4">
        <v>45.0</v>
      </c>
      <c r="D13" s="4" t="s">
        <v>52</v>
      </c>
      <c r="E13" s="12" t="s">
        <v>133</v>
      </c>
    </row>
    <row r="14">
      <c r="A14" s="4" t="s">
        <v>153</v>
      </c>
      <c r="B14" s="4">
        <v>320.0</v>
      </c>
      <c r="C14" s="4">
        <v>28.0</v>
      </c>
      <c r="D14" s="4" t="s">
        <v>80</v>
      </c>
      <c r="E14" s="12" t="s">
        <v>133</v>
      </c>
    </row>
    <row r="15">
      <c r="A15" s="4" t="s">
        <v>156</v>
      </c>
      <c r="B15" s="4">
        <v>260.0</v>
      </c>
      <c r="C15" s="4">
        <v>21.0</v>
      </c>
      <c r="D15" s="4" t="s">
        <v>80</v>
      </c>
      <c r="E15" s="12" t="s">
        <v>133</v>
      </c>
    </row>
    <row r="16">
      <c r="A16" s="4" t="s">
        <v>158</v>
      </c>
      <c r="B16" s="4">
        <v>260.0</v>
      </c>
      <c r="C16" s="4">
        <v>38.0</v>
      </c>
      <c r="D16" s="4" t="s">
        <v>79</v>
      </c>
      <c r="E16" s="12" t="s">
        <v>133</v>
      </c>
    </row>
    <row r="17">
      <c r="A17" s="4" t="s">
        <v>159</v>
      </c>
      <c r="B17" s="4">
        <v>210.0</v>
      </c>
      <c r="C17" s="4">
        <v>31.0</v>
      </c>
      <c r="D17" s="4" t="s">
        <v>80</v>
      </c>
      <c r="E17" s="12" t="s">
        <v>133</v>
      </c>
    </row>
    <row r="18">
      <c r="A18" s="4" t="s">
        <v>161</v>
      </c>
      <c r="B18" s="4">
        <v>210.0</v>
      </c>
      <c r="C18" s="4">
        <v>2.0</v>
      </c>
      <c r="D18" s="4" t="s">
        <v>96</v>
      </c>
      <c r="E18" s="12" t="s">
        <v>133</v>
      </c>
    </row>
    <row r="19">
      <c r="A19" s="4" t="s">
        <v>163</v>
      </c>
      <c r="B19" s="4">
        <v>210.0</v>
      </c>
      <c r="C19" s="4">
        <v>27.0</v>
      </c>
      <c r="D19" s="4" t="s">
        <v>80</v>
      </c>
      <c r="E19" s="12" t="s">
        <v>133</v>
      </c>
    </row>
    <row r="20">
      <c r="A20" s="4" t="s">
        <v>166</v>
      </c>
      <c r="B20" s="4">
        <v>170.0</v>
      </c>
      <c r="C20" s="4">
        <v>58.0</v>
      </c>
      <c r="D20" s="4" t="s">
        <v>52</v>
      </c>
      <c r="E20" s="12" t="s">
        <v>133</v>
      </c>
    </row>
    <row r="21" ht="15.75" customHeight="1">
      <c r="A21" s="4" t="s">
        <v>168</v>
      </c>
      <c r="B21" s="4">
        <v>170.0</v>
      </c>
      <c r="C21" s="4">
        <v>23.0</v>
      </c>
      <c r="D21" s="4" t="s">
        <v>79</v>
      </c>
      <c r="E21" s="12" t="s">
        <v>133</v>
      </c>
    </row>
    <row r="22" ht="15.75" customHeight="1">
      <c r="A22" s="4" t="s">
        <v>170</v>
      </c>
      <c r="B22" s="4">
        <v>140.0</v>
      </c>
      <c r="C22" s="4">
        <v>17.0</v>
      </c>
      <c r="D22" s="4" t="s">
        <v>52</v>
      </c>
      <c r="E22" s="12" t="s">
        <v>133</v>
      </c>
    </row>
    <row r="23" ht="15.75" customHeight="1">
      <c r="A23" s="4" t="s">
        <v>172</v>
      </c>
      <c r="B23" s="4">
        <v>140.0</v>
      </c>
      <c r="C23" s="4">
        <v>5.0</v>
      </c>
      <c r="D23" s="4" t="s">
        <v>80</v>
      </c>
      <c r="E23" s="12" t="s">
        <v>133</v>
      </c>
    </row>
    <row r="24" ht="15.75" customHeight="1">
      <c r="A24" s="4" t="s">
        <v>174</v>
      </c>
      <c r="B24" s="4">
        <v>140.0</v>
      </c>
      <c r="C24" s="4">
        <v>19.0</v>
      </c>
      <c r="D24" s="4" t="s">
        <v>52</v>
      </c>
      <c r="E24" s="12" t="s">
        <v>133</v>
      </c>
    </row>
    <row r="25" ht="15.75" customHeight="1">
      <c r="A25" s="4" t="s">
        <v>176</v>
      </c>
      <c r="B25" s="4">
        <v>140.0</v>
      </c>
      <c r="C25" s="4">
        <v>18.0</v>
      </c>
      <c r="D25" s="4" t="s">
        <v>96</v>
      </c>
      <c r="E25" s="12" t="s">
        <v>133</v>
      </c>
    </row>
    <row r="26" ht="15.75" customHeight="1">
      <c r="A26" s="4" t="s">
        <v>178</v>
      </c>
      <c r="B26" s="4">
        <v>110.0</v>
      </c>
      <c r="C26" s="4">
        <v>7.0</v>
      </c>
      <c r="D26" s="4" t="s">
        <v>52</v>
      </c>
      <c r="E26" s="12" t="s">
        <v>133</v>
      </c>
    </row>
    <row r="27" ht="15.75" customHeight="1">
      <c r="A27" s="4" t="s">
        <v>179</v>
      </c>
      <c r="B27" s="4">
        <v>110.0</v>
      </c>
      <c r="C27" s="4">
        <v>30.0</v>
      </c>
      <c r="D27" s="4" t="s">
        <v>80</v>
      </c>
      <c r="E27" s="12" t="s">
        <v>133</v>
      </c>
    </row>
    <row r="28" ht="15.75" customHeight="1">
      <c r="A28" s="4" t="s">
        <v>181</v>
      </c>
      <c r="B28" s="4">
        <v>90.0</v>
      </c>
      <c r="C28" s="4">
        <v>17.0</v>
      </c>
      <c r="D28" s="4" t="s">
        <v>96</v>
      </c>
      <c r="E28" s="12" t="s">
        <v>133</v>
      </c>
    </row>
    <row r="29" ht="15.75" customHeight="1">
      <c r="A29" s="4" t="s">
        <v>183</v>
      </c>
      <c r="B29" s="4">
        <v>90.0</v>
      </c>
      <c r="C29" s="4">
        <v>29.0</v>
      </c>
      <c r="D29" s="4" t="s">
        <v>79</v>
      </c>
      <c r="E29" s="12" t="s">
        <v>133</v>
      </c>
    </row>
    <row r="30" ht="15.75" customHeight="1">
      <c r="A30" s="4" t="s">
        <v>185</v>
      </c>
      <c r="B30" s="4">
        <v>70.0</v>
      </c>
      <c r="C30" s="4">
        <v>22.0</v>
      </c>
      <c r="D30" s="4" t="s">
        <v>80</v>
      </c>
      <c r="E30" s="12" t="s">
        <v>133</v>
      </c>
    </row>
    <row r="31" ht="15.75" customHeight="1">
      <c r="A31" s="4" t="s">
        <v>188</v>
      </c>
      <c r="B31" s="4">
        <v>70.0</v>
      </c>
      <c r="C31" s="4">
        <v>2.0</v>
      </c>
      <c r="D31" s="4" t="s">
        <v>80</v>
      </c>
      <c r="E31" s="12" t="s">
        <v>133</v>
      </c>
    </row>
    <row r="32" ht="15.75" customHeight="1">
      <c r="A32" s="4" t="s">
        <v>189</v>
      </c>
      <c r="B32" s="4">
        <v>50.0</v>
      </c>
      <c r="C32" s="4">
        <v>40.0</v>
      </c>
      <c r="D32" s="4" t="s">
        <v>52</v>
      </c>
      <c r="E32" s="12" t="s">
        <v>133</v>
      </c>
    </row>
    <row r="33" ht="15.75" customHeight="1">
      <c r="A33" s="4" t="s">
        <v>192</v>
      </c>
      <c r="B33" s="4">
        <v>50.0</v>
      </c>
      <c r="C33" s="4">
        <v>2.0</v>
      </c>
      <c r="D33" s="4" t="s">
        <v>80</v>
      </c>
      <c r="E33" s="12" t="s">
        <v>133</v>
      </c>
    </row>
    <row r="34" ht="15.75" customHeight="1">
      <c r="A34" s="4" t="s">
        <v>198</v>
      </c>
      <c r="B34" s="4">
        <v>50.0</v>
      </c>
      <c r="C34" s="4">
        <v>33.0</v>
      </c>
      <c r="D34" s="4" t="s">
        <v>80</v>
      </c>
      <c r="E34" s="12" t="s">
        <v>133</v>
      </c>
    </row>
    <row r="35" ht="15.75" customHeight="1">
      <c r="A35" s="4" t="s">
        <v>200</v>
      </c>
      <c r="B35" s="4">
        <v>50.0</v>
      </c>
      <c r="C35" s="4">
        <v>2.0</v>
      </c>
      <c r="D35" s="4" t="s">
        <v>80</v>
      </c>
      <c r="E35" s="12" t="s">
        <v>133</v>
      </c>
    </row>
    <row r="36" ht="15.75" customHeight="1">
      <c r="A36" s="4" t="s">
        <v>204</v>
      </c>
      <c r="B36" s="4">
        <v>40.0</v>
      </c>
      <c r="C36" s="4">
        <v>15.0</v>
      </c>
      <c r="D36" s="4" t="s">
        <v>96</v>
      </c>
      <c r="E36" s="12" t="s">
        <v>133</v>
      </c>
    </row>
    <row r="37" ht="15.75" customHeight="1">
      <c r="A37" s="4" t="s">
        <v>206</v>
      </c>
      <c r="B37" s="4">
        <v>40.0</v>
      </c>
      <c r="C37" s="4">
        <v>57.0</v>
      </c>
      <c r="D37" s="4" t="s">
        <v>52</v>
      </c>
      <c r="E37" s="12" t="s">
        <v>133</v>
      </c>
    </row>
    <row r="38" ht="15.75" customHeight="1">
      <c r="A38" s="4" t="s">
        <v>209</v>
      </c>
      <c r="B38" s="4">
        <v>40.0</v>
      </c>
      <c r="C38" s="4">
        <v>9.0</v>
      </c>
      <c r="D38" s="4" t="s">
        <v>80</v>
      </c>
      <c r="E38" s="12" t="s">
        <v>133</v>
      </c>
    </row>
    <row r="39" ht="15.75" customHeight="1">
      <c r="A39" s="4" t="s">
        <v>213</v>
      </c>
      <c r="B39" s="4">
        <v>30.0</v>
      </c>
      <c r="C39" s="4">
        <v>33.0</v>
      </c>
      <c r="D39" s="4" t="s">
        <v>80</v>
      </c>
      <c r="E39" s="12" t="s">
        <v>133</v>
      </c>
    </row>
    <row r="40" ht="15.75" customHeight="1">
      <c r="A40" s="4" t="s">
        <v>217</v>
      </c>
      <c r="B40" s="4">
        <v>30.0</v>
      </c>
      <c r="C40" s="4">
        <v>30.0</v>
      </c>
      <c r="D40" s="4" t="s">
        <v>80</v>
      </c>
      <c r="E40" s="12" t="s">
        <v>133</v>
      </c>
    </row>
    <row r="41" ht="15.75" customHeight="1">
      <c r="A41" s="4" t="s">
        <v>220</v>
      </c>
      <c r="B41" s="4">
        <v>30.0</v>
      </c>
      <c r="C41" s="4">
        <v>6.0</v>
      </c>
      <c r="D41" s="4" t="s">
        <v>80</v>
      </c>
      <c r="E41" s="12" t="s">
        <v>133</v>
      </c>
    </row>
    <row r="42" ht="15.75" customHeight="1">
      <c r="A42" s="4" t="s">
        <v>223</v>
      </c>
      <c r="B42" s="4">
        <v>0.0</v>
      </c>
      <c r="C42" s="4">
        <v>0.0</v>
      </c>
      <c r="D42" s="4" t="s">
        <v>225</v>
      </c>
      <c r="E42" s="12" t="s">
        <v>133</v>
      </c>
    </row>
    <row r="43" ht="15.75" customHeight="1">
      <c r="A43" s="4" t="s">
        <v>227</v>
      </c>
      <c r="B43" s="4">
        <v>18100.0</v>
      </c>
      <c r="C43" s="4">
        <v>41.0</v>
      </c>
      <c r="D43" s="4" t="s">
        <v>52</v>
      </c>
      <c r="E43" s="12" t="s">
        <v>231</v>
      </c>
    </row>
    <row r="44" ht="15.75" customHeight="1">
      <c r="A44" s="4" t="s">
        <v>233</v>
      </c>
      <c r="B44" s="4">
        <v>2400.0</v>
      </c>
      <c r="C44" s="4">
        <v>42.0</v>
      </c>
      <c r="D44" s="4" t="s">
        <v>52</v>
      </c>
      <c r="E44" s="12" t="s">
        <v>231</v>
      </c>
    </row>
    <row r="45" ht="15.75" customHeight="1">
      <c r="A45" s="4" t="s">
        <v>237</v>
      </c>
      <c r="B45" s="4">
        <v>1000.0</v>
      </c>
      <c r="C45" s="4">
        <v>26.0</v>
      </c>
      <c r="D45" s="4" t="s">
        <v>80</v>
      </c>
      <c r="E45" s="12" t="s">
        <v>231</v>
      </c>
    </row>
    <row r="46" ht="15.75" customHeight="1">
      <c r="A46" s="4" t="s">
        <v>239</v>
      </c>
      <c r="B46" s="4">
        <v>590.0</v>
      </c>
      <c r="C46" s="4">
        <v>37.0</v>
      </c>
      <c r="D46" s="4" t="s">
        <v>52</v>
      </c>
      <c r="E46" s="12" t="s">
        <v>231</v>
      </c>
    </row>
    <row r="47" ht="15.75" customHeight="1">
      <c r="A47" s="4" t="s">
        <v>242</v>
      </c>
      <c r="B47" s="4">
        <v>480.0</v>
      </c>
      <c r="C47" s="4">
        <v>32.0</v>
      </c>
      <c r="D47" s="4" t="s">
        <v>80</v>
      </c>
      <c r="E47" s="12" t="s">
        <v>231</v>
      </c>
    </row>
    <row r="48" ht="15.75" customHeight="1">
      <c r="A48" s="4" t="s">
        <v>245</v>
      </c>
      <c r="B48" s="4">
        <v>390.0</v>
      </c>
      <c r="C48" s="4">
        <v>23.0</v>
      </c>
      <c r="D48" s="4" t="s">
        <v>80</v>
      </c>
      <c r="E48" s="12" t="s">
        <v>231</v>
      </c>
    </row>
    <row r="49" ht="15.75" customHeight="1">
      <c r="A49" s="4" t="s">
        <v>249</v>
      </c>
      <c r="B49" s="4">
        <v>260.0</v>
      </c>
      <c r="C49" s="4">
        <v>22.0</v>
      </c>
      <c r="D49" s="4" t="s">
        <v>96</v>
      </c>
      <c r="E49" s="12" t="s">
        <v>231</v>
      </c>
    </row>
    <row r="50" ht="15.75" customHeight="1">
      <c r="A50" s="4" t="s">
        <v>252</v>
      </c>
      <c r="B50" s="4">
        <v>260.0</v>
      </c>
      <c r="C50" s="4">
        <v>39.0</v>
      </c>
      <c r="D50" s="4" t="s">
        <v>96</v>
      </c>
      <c r="E50" s="12" t="s">
        <v>231</v>
      </c>
    </row>
    <row r="51" ht="15.75" customHeight="1">
      <c r="A51" s="4" t="s">
        <v>254</v>
      </c>
      <c r="B51" s="4">
        <v>210.0</v>
      </c>
      <c r="C51" s="4">
        <v>19.0</v>
      </c>
      <c r="D51" s="4" t="s">
        <v>52</v>
      </c>
      <c r="E51" s="12" t="s">
        <v>231</v>
      </c>
    </row>
    <row r="52" ht="15.75" customHeight="1">
      <c r="A52" s="4" t="s">
        <v>257</v>
      </c>
      <c r="B52" s="4">
        <v>210.0</v>
      </c>
      <c r="C52" s="4">
        <v>25.0</v>
      </c>
      <c r="D52" s="4" t="s">
        <v>80</v>
      </c>
      <c r="E52" s="12" t="s">
        <v>231</v>
      </c>
    </row>
    <row r="53" ht="15.75" customHeight="1">
      <c r="A53" s="4" t="s">
        <v>260</v>
      </c>
      <c r="B53" s="4">
        <v>170.0</v>
      </c>
      <c r="C53" s="4">
        <v>30.0</v>
      </c>
      <c r="D53" s="4" t="s">
        <v>80</v>
      </c>
      <c r="E53" s="12" t="s">
        <v>231</v>
      </c>
    </row>
    <row r="54" ht="15.75" customHeight="1">
      <c r="A54" s="4" t="s">
        <v>262</v>
      </c>
      <c r="B54" s="4">
        <v>140.0</v>
      </c>
      <c r="C54" s="4">
        <v>33.0</v>
      </c>
      <c r="D54" s="4" t="s">
        <v>80</v>
      </c>
      <c r="E54" s="12" t="s">
        <v>231</v>
      </c>
    </row>
    <row r="55" ht="15.75" customHeight="1">
      <c r="A55" s="4" t="s">
        <v>265</v>
      </c>
      <c r="B55" s="4">
        <v>110.0</v>
      </c>
      <c r="C55" s="4">
        <v>19.0</v>
      </c>
      <c r="D55" s="4" t="s">
        <v>80</v>
      </c>
      <c r="E55" s="12" t="s">
        <v>231</v>
      </c>
    </row>
    <row r="56" ht="15.75" customHeight="1">
      <c r="A56" s="4" t="s">
        <v>267</v>
      </c>
      <c r="B56" s="4">
        <v>110.0</v>
      </c>
      <c r="C56" s="4">
        <v>18.0</v>
      </c>
      <c r="D56" s="4" t="s">
        <v>80</v>
      </c>
      <c r="E56" s="12" t="s">
        <v>231</v>
      </c>
    </row>
    <row r="57" ht="15.75" customHeight="1">
      <c r="A57" s="4" t="s">
        <v>269</v>
      </c>
      <c r="B57" s="4">
        <v>70.0</v>
      </c>
      <c r="C57" s="4">
        <v>15.0</v>
      </c>
      <c r="D57" s="4" t="s">
        <v>80</v>
      </c>
      <c r="E57" s="12" t="s">
        <v>231</v>
      </c>
    </row>
    <row r="58" ht="15.75" customHeight="1">
      <c r="A58" s="4" t="s">
        <v>271</v>
      </c>
      <c r="B58" s="4">
        <v>2400.0</v>
      </c>
      <c r="C58" s="4">
        <v>34.0</v>
      </c>
      <c r="D58" s="4" t="s">
        <v>80</v>
      </c>
      <c r="E58" s="12" t="s">
        <v>274</v>
      </c>
    </row>
    <row r="59" ht="15.75" customHeight="1">
      <c r="A59" s="4" t="s">
        <v>276</v>
      </c>
      <c r="B59" s="4">
        <v>1600.0</v>
      </c>
      <c r="C59" s="4">
        <v>36.0</v>
      </c>
      <c r="D59" s="4" t="s">
        <v>80</v>
      </c>
      <c r="E59" s="12" t="s">
        <v>274</v>
      </c>
    </row>
    <row r="60" ht="15.75" customHeight="1">
      <c r="A60" s="4" t="s">
        <v>278</v>
      </c>
      <c r="B60" s="4">
        <v>720.0</v>
      </c>
      <c r="C60" s="4">
        <v>25.0</v>
      </c>
      <c r="D60" s="4" t="s">
        <v>80</v>
      </c>
      <c r="E60" s="12" t="s">
        <v>274</v>
      </c>
    </row>
    <row r="61" ht="15.75" customHeight="1">
      <c r="A61" s="4" t="s">
        <v>281</v>
      </c>
      <c r="B61" s="4">
        <v>720.0</v>
      </c>
      <c r="C61" s="4">
        <v>24.0</v>
      </c>
      <c r="D61" s="4" t="s">
        <v>80</v>
      </c>
      <c r="E61" s="12" t="s">
        <v>274</v>
      </c>
    </row>
    <row r="62" ht="15.75" customHeight="1">
      <c r="A62" s="4" t="s">
        <v>284</v>
      </c>
      <c r="B62" s="4">
        <v>720.0</v>
      </c>
      <c r="C62" s="4">
        <v>30.0</v>
      </c>
      <c r="D62" s="4" t="s">
        <v>80</v>
      </c>
      <c r="E62" s="12" t="s">
        <v>274</v>
      </c>
    </row>
    <row r="63" ht="15.75" customHeight="1">
      <c r="A63" s="4" t="s">
        <v>285</v>
      </c>
      <c r="B63" s="4">
        <v>210.0</v>
      </c>
      <c r="C63" s="4">
        <v>20.0</v>
      </c>
      <c r="D63" s="4" t="s">
        <v>80</v>
      </c>
      <c r="E63" s="12" t="s">
        <v>274</v>
      </c>
    </row>
    <row r="64" ht="15.75" customHeight="1">
      <c r="A64" s="4" t="s">
        <v>288</v>
      </c>
      <c r="B64" s="4">
        <v>140.0</v>
      </c>
      <c r="C64" s="4">
        <v>27.0</v>
      </c>
      <c r="D64" s="4" t="s">
        <v>80</v>
      </c>
      <c r="E64" s="12" t="s">
        <v>274</v>
      </c>
    </row>
    <row r="65" ht="15.75" customHeight="1">
      <c r="A65" s="4" t="s">
        <v>290</v>
      </c>
      <c r="B65" s="4">
        <v>90.0</v>
      </c>
      <c r="C65" s="4">
        <v>29.0</v>
      </c>
      <c r="D65" s="4" t="s">
        <v>80</v>
      </c>
      <c r="E65" s="12" t="s">
        <v>274</v>
      </c>
    </row>
    <row r="66" ht="15.75" customHeight="1">
      <c r="A66" s="4" t="s">
        <v>292</v>
      </c>
      <c r="B66" s="4">
        <v>90.0</v>
      </c>
      <c r="C66" s="4">
        <v>36.0</v>
      </c>
      <c r="D66" s="4" t="s">
        <v>80</v>
      </c>
      <c r="E66" s="12" t="s">
        <v>274</v>
      </c>
    </row>
    <row r="67" ht="15.75" customHeight="1">
      <c r="A67" s="4" t="s">
        <v>295</v>
      </c>
      <c r="B67" s="4">
        <v>50.0</v>
      </c>
      <c r="C67" s="4">
        <v>6.0</v>
      </c>
      <c r="D67" s="4" t="s">
        <v>80</v>
      </c>
      <c r="E67" s="12" t="s">
        <v>274</v>
      </c>
    </row>
    <row r="68" ht="15.75" customHeight="1">
      <c r="A68" s="4" t="s">
        <v>298</v>
      </c>
      <c r="B68" s="4">
        <v>40.0</v>
      </c>
      <c r="C68" s="4">
        <v>21.0</v>
      </c>
      <c r="D68" s="4" t="s">
        <v>80</v>
      </c>
      <c r="E68" s="12" t="s">
        <v>274</v>
      </c>
    </row>
    <row r="69" ht="15.75" customHeight="1">
      <c r="A69" s="4" t="s">
        <v>300</v>
      </c>
      <c r="B69" s="4">
        <v>30.0</v>
      </c>
      <c r="C69" s="4">
        <v>21.0</v>
      </c>
      <c r="D69" s="4" t="s">
        <v>80</v>
      </c>
      <c r="E69" s="12" t="s">
        <v>274</v>
      </c>
    </row>
    <row r="70" ht="15.75" customHeight="1">
      <c r="A70" s="4" t="s">
        <v>303</v>
      </c>
      <c r="B70" s="4">
        <v>30.0</v>
      </c>
      <c r="C70" s="4">
        <v>23.0</v>
      </c>
      <c r="D70" s="4" t="s">
        <v>80</v>
      </c>
      <c r="E70" s="12" t="s">
        <v>274</v>
      </c>
    </row>
    <row r="71" ht="15.75" customHeight="1">
      <c r="A71" s="4" t="s">
        <v>305</v>
      </c>
      <c r="B71" s="4">
        <v>30.0</v>
      </c>
      <c r="C71" s="4">
        <v>31.0</v>
      </c>
      <c r="D71" s="4" t="s">
        <v>80</v>
      </c>
      <c r="E71" s="12" t="s">
        <v>274</v>
      </c>
    </row>
    <row r="72" ht="15.75" customHeight="1">
      <c r="A72" s="4" t="s">
        <v>308</v>
      </c>
      <c r="B72" s="4">
        <v>30.0</v>
      </c>
      <c r="C72" s="4">
        <v>34.0</v>
      </c>
      <c r="D72" s="4" t="s">
        <v>96</v>
      </c>
      <c r="E72" s="12" t="s">
        <v>274</v>
      </c>
    </row>
    <row r="73" ht="15.75" customHeight="1">
      <c r="A73" s="4" t="s">
        <v>312</v>
      </c>
      <c r="B73" s="4">
        <v>30.0</v>
      </c>
      <c r="C73" s="4">
        <v>25.0</v>
      </c>
      <c r="D73" s="4" t="s">
        <v>80</v>
      </c>
      <c r="E73" s="12" t="s">
        <v>274</v>
      </c>
    </row>
    <row r="74" ht="15.75" customHeight="1">
      <c r="A74" s="4" t="s">
        <v>314</v>
      </c>
      <c r="B74" s="4">
        <v>30.0</v>
      </c>
      <c r="C74" s="4">
        <v>19.0</v>
      </c>
      <c r="D74" s="4" t="s">
        <v>80</v>
      </c>
      <c r="E74" s="12" t="s">
        <v>274</v>
      </c>
    </row>
    <row r="75" ht="15.75" customHeight="1">
      <c r="A75" s="4" t="s">
        <v>317</v>
      </c>
      <c r="B75" s="4">
        <v>0.0</v>
      </c>
      <c r="C75" s="4">
        <v>0.0</v>
      </c>
      <c r="D75" s="4" t="s">
        <v>225</v>
      </c>
      <c r="E75" s="12" t="s">
        <v>274</v>
      </c>
    </row>
    <row r="76" ht="15.75" customHeight="1">
      <c r="A76" s="4" t="s">
        <v>319</v>
      </c>
      <c r="B76" s="4">
        <v>0.0</v>
      </c>
      <c r="C76" s="4">
        <v>0.0</v>
      </c>
      <c r="D76" s="4" t="s">
        <v>225</v>
      </c>
      <c r="E76" s="12" t="s">
        <v>274</v>
      </c>
    </row>
    <row r="77" ht="15.75" customHeight="1">
      <c r="A77" s="4" t="s">
        <v>323</v>
      </c>
      <c r="B77" s="4">
        <v>0.0</v>
      </c>
      <c r="C77" s="4">
        <v>0.0</v>
      </c>
      <c r="D77" s="4" t="s">
        <v>225</v>
      </c>
      <c r="E77" s="12" t="s">
        <v>274</v>
      </c>
    </row>
    <row r="78" ht="15.75" customHeight="1">
      <c r="A78" s="4" t="s">
        <v>326</v>
      </c>
      <c r="B78" s="4">
        <v>0.0</v>
      </c>
      <c r="C78" s="4">
        <v>0.0</v>
      </c>
      <c r="D78" s="4" t="s">
        <v>225</v>
      </c>
      <c r="E78" s="12" t="s">
        <v>274</v>
      </c>
    </row>
    <row r="79" ht="15.75" customHeight="1">
      <c r="A79" s="4" t="s">
        <v>328</v>
      </c>
      <c r="B79" s="4">
        <v>0.0</v>
      </c>
      <c r="C79" s="4">
        <v>0.0</v>
      </c>
      <c r="D79" s="4" t="s">
        <v>225</v>
      </c>
      <c r="E79" s="12" t="s">
        <v>274</v>
      </c>
    </row>
    <row r="80" ht="15.75" customHeight="1">
      <c r="A80" s="4" t="s">
        <v>332</v>
      </c>
      <c r="B80" s="4">
        <v>0.0</v>
      </c>
      <c r="C80" s="4">
        <v>0.0</v>
      </c>
      <c r="D80" s="4" t="s">
        <v>225</v>
      </c>
      <c r="E80" s="12" t="s">
        <v>274</v>
      </c>
    </row>
    <row r="81" ht="15.75" customHeight="1">
      <c r="A81" s="4" t="s">
        <v>334</v>
      </c>
      <c r="B81" s="4">
        <v>0.0</v>
      </c>
      <c r="C81" s="4">
        <v>0.0</v>
      </c>
      <c r="D81" s="4" t="s">
        <v>225</v>
      </c>
      <c r="E81" s="12" t="s">
        <v>274</v>
      </c>
    </row>
    <row r="82" ht="15.75" customHeight="1">
      <c r="A82" s="4" t="s">
        <v>337</v>
      </c>
      <c r="B82" s="4">
        <v>110000.0</v>
      </c>
      <c r="C82" s="4">
        <v>44.0</v>
      </c>
      <c r="D82" s="4" t="s">
        <v>52</v>
      </c>
      <c r="E82" s="12" t="s">
        <v>339</v>
      </c>
    </row>
    <row r="83" ht="15.75" customHeight="1">
      <c r="A83" s="4" t="s">
        <v>341</v>
      </c>
      <c r="B83" s="4">
        <v>27100.0</v>
      </c>
      <c r="C83" s="4">
        <v>48.0</v>
      </c>
      <c r="D83" s="4" t="s">
        <v>80</v>
      </c>
      <c r="E83" s="12" t="s">
        <v>339</v>
      </c>
    </row>
    <row r="84" ht="15.75" customHeight="1">
      <c r="A84" s="4" t="s">
        <v>343</v>
      </c>
      <c r="B84" s="4">
        <v>22200.0</v>
      </c>
      <c r="C84" s="4">
        <v>50.0</v>
      </c>
      <c r="D84" s="4" t="s">
        <v>96</v>
      </c>
      <c r="E84" s="12" t="s">
        <v>339</v>
      </c>
    </row>
    <row r="85" ht="15.75" customHeight="1">
      <c r="A85" s="4" t="s">
        <v>347</v>
      </c>
      <c r="B85" s="4">
        <v>22200.0</v>
      </c>
      <c r="C85" s="4">
        <v>52.0</v>
      </c>
      <c r="D85" s="4" t="s">
        <v>104</v>
      </c>
      <c r="E85" s="12" t="s">
        <v>339</v>
      </c>
    </row>
    <row r="86" ht="15.75" customHeight="1">
      <c r="A86" s="4" t="s">
        <v>349</v>
      </c>
      <c r="B86" s="4">
        <v>14800.0</v>
      </c>
      <c r="C86" s="4">
        <v>36.0</v>
      </c>
      <c r="D86" s="4" t="s">
        <v>80</v>
      </c>
      <c r="E86" s="12" t="s">
        <v>339</v>
      </c>
    </row>
    <row r="87" ht="15.75" customHeight="1">
      <c r="A87" s="4" t="s">
        <v>351</v>
      </c>
      <c r="B87" s="4">
        <v>12100.0</v>
      </c>
      <c r="C87" s="4">
        <v>45.0</v>
      </c>
      <c r="D87" s="4" t="s">
        <v>52</v>
      </c>
      <c r="E87" s="12" t="s">
        <v>339</v>
      </c>
    </row>
    <row r="88" ht="15.75" customHeight="1">
      <c r="A88" s="4" t="s">
        <v>354</v>
      </c>
      <c r="B88" s="4">
        <v>12100.0</v>
      </c>
      <c r="C88" s="4">
        <v>37.0</v>
      </c>
      <c r="D88" s="4" t="s">
        <v>104</v>
      </c>
      <c r="E88" s="12" t="s">
        <v>339</v>
      </c>
    </row>
    <row r="89" ht="15.75" customHeight="1">
      <c r="A89" s="4" t="s">
        <v>357</v>
      </c>
      <c r="B89" s="4">
        <v>110.0</v>
      </c>
      <c r="C89" s="4">
        <v>21.0</v>
      </c>
      <c r="D89" s="4" t="s">
        <v>104</v>
      </c>
      <c r="E89" s="12" t="s">
        <v>339</v>
      </c>
    </row>
    <row r="90" ht="15.75" customHeight="1">
      <c r="A90" s="4" t="s">
        <v>360</v>
      </c>
      <c r="B90" s="4">
        <v>33100.0</v>
      </c>
      <c r="C90" s="4">
        <v>51.0</v>
      </c>
      <c r="D90" s="4" t="s">
        <v>80</v>
      </c>
      <c r="E90" s="12" t="s">
        <v>363</v>
      </c>
    </row>
    <row r="91" ht="15.75" customHeight="1">
      <c r="A91" s="4" t="s">
        <v>364</v>
      </c>
      <c r="B91" s="4">
        <v>33100.0</v>
      </c>
      <c r="C91" s="4">
        <v>60.0</v>
      </c>
      <c r="D91" s="4" t="s">
        <v>80</v>
      </c>
      <c r="E91" s="12" t="s">
        <v>363</v>
      </c>
    </row>
    <row r="92" ht="15.75" customHeight="1">
      <c r="A92" s="4" t="s">
        <v>367</v>
      </c>
      <c r="B92" s="4">
        <v>33100.0</v>
      </c>
      <c r="C92" s="4">
        <v>38.0</v>
      </c>
      <c r="D92" s="4" t="s">
        <v>104</v>
      </c>
      <c r="E92" s="12" t="s">
        <v>363</v>
      </c>
    </row>
    <row r="93" ht="15.75" customHeight="1">
      <c r="A93" s="4" t="s">
        <v>369</v>
      </c>
      <c r="B93" s="4">
        <v>12100.0</v>
      </c>
      <c r="C93" s="4">
        <v>44.0</v>
      </c>
      <c r="D93" s="4" t="s">
        <v>104</v>
      </c>
      <c r="E93" s="12" t="s">
        <v>363</v>
      </c>
    </row>
    <row r="94" ht="15.75" customHeight="1">
      <c r="A94" s="4" t="s">
        <v>372</v>
      </c>
      <c r="B94" s="4">
        <v>12100.0</v>
      </c>
      <c r="C94" s="4">
        <v>50.0</v>
      </c>
      <c r="D94" s="4" t="s">
        <v>52</v>
      </c>
      <c r="E94" s="12" t="s">
        <v>363</v>
      </c>
    </row>
    <row r="95" ht="15.75" customHeight="1">
      <c r="A95" s="4" t="s">
        <v>375</v>
      </c>
      <c r="B95" s="4">
        <v>9900.0</v>
      </c>
      <c r="C95" s="4">
        <v>45.0</v>
      </c>
      <c r="D95" s="4" t="s">
        <v>104</v>
      </c>
      <c r="E95" s="12" t="s">
        <v>363</v>
      </c>
    </row>
    <row r="96" ht="15.75" customHeight="1">
      <c r="A96" s="4" t="s">
        <v>377</v>
      </c>
      <c r="B96" s="4">
        <v>8100.0</v>
      </c>
      <c r="C96" s="4">
        <v>53.0</v>
      </c>
      <c r="D96" s="4" t="s">
        <v>104</v>
      </c>
      <c r="E96" s="12" t="s">
        <v>363</v>
      </c>
    </row>
    <row r="97" ht="15.75" customHeight="1">
      <c r="A97" s="4" t="s">
        <v>379</v>
      </c>
      <c r="B97" s="4">
        <v>2900.0</v>
      </c>
      <c r="C97" s="4">
        <v>47.0</v>
      </c>
      <c r="D97" s="4" t="s">
        <v>104</v>
      </c>
      <c r="E97" s="12" t="s">
        <v>363</v>
      </c>
    </row>
    <row r="98" ht="15.75" customHeight="1">
      <c r="A98" s="4" t="s">
        <v>381</v>
      </c>
      <c r="B98" s="4">
        <v>1600.0</v>
      </c>
      <c r="C98" s="4">
        <v>61.0</v>
      </c>
      <c r="D98" s="4" t="s">
        <v>96</v>
      </c>
      <c r="E98" s="12" t="s">
        <v>363</v>
      </c>
    </row>
    <row r="99" ht="15.75" customHeight="1">
      <c r="A99" s="4" t="s">
        <v>383</v>
      </c>
      <c r="B99" s="4">
        <v>590.0</v>
      </c>
      <c r="C99" s="4">
        <v>58.0</v>
      </c>
      <c r="D99" s="4" t="s">
        <v>52</v>
      </c>
      <c r="E99" s="12" t="s">
        <v>363</v>
      </c>
    </row>
    <row r="100" ht="15.75" customHeight="1">
      <c r="A100" s="4" t="s">
        <v>385</v>
      </c>
      <c r="B100" s="4">
        <v>40.0</v>
      </c>
      <c r="C100" s="4">
        <v>17.0</v>
      </c>
      <c r="D100" s="4" t="s">
        <v>52</v>
      </c>
      <c r="E100" s="12" t="s">
        <v>363</v>
      </c>
    </row>
    <row r="101" ht="15.75" customHeight="1">
      <c r="A101" s="4" t="s">
        <v>387</v>
      </c>
      <c r="B101" s="4">
        <v>30.0</v>
      </c>
      <c r="C101" s="4">
        <v>46.0</v>
      </c>
      <c r="D101" s="4" t="s">
        <v>52</v>
      </c>
      <c r="E101" s="12" t="s">
        <v>363</v>
      </c>
    </row>
    <row r="102" ht="15.75" customHeight="1">
      <c r="A102" s="4" t="s">
        <v>388</v>
      </c>
      <c r="B102" s="4">
        <v>0.0</v>
      </c>
      <c r="C102" s="4">
        <v>0.0</v>
      </c>
      <c r="D102" s="4" t="s">
        <v>225</v>
      </c>
      <c r="E102" s="12" t="s">
        <v>390</v>
      </c>
    </row>
    <row r="103" ht="15.75" customHeight="1">
      <c r="A103" s="4" t="s">
        <v>391</v>
      </c>
      <c r="B103" s="4">
        <v>0.0</v>
      </c>
      <c r="C103" s="4">
        <v>0.0</v>
      </c>
      <c r="D103" s="4" t="s">
        <v>225</v>
      </c>
      <c r="E103" s="12" t="s">
        <v>390</v>
      </c>
    </row>
    <row r="104" ht="15.75" customHeight="1">
      <c r="A104" s="4" t="s">
        <v>393</v>
      </c>
      <c r="B104" s="4">
        <v>0.0</v>
      </c>
      <c r="C104" s="4">
        <v>0.0</v>
      </c>
      <c r="D104" s="4" t="s">
        <v>225</v>
      </c>
      <c r="E104" s="12" t="s">
        <v>390</v>
      </c>
    </row>
    <row r="105" ht="15.75" customHeight="1">
      <c r="A105" s="4" t="s">
        <v>395</v>
      </c>
      <c r="B105" s="4">
        <v>0.0</v>
      </c>
      <c r="C105" s="4">
        <v>0.0</v>
      </c>
      <c r="D105" s="4" t="s">
        <v>225</v>
      </c>
      <c r="E105" s="12" t="s">
        <v>390</v>
      </c>
    </row>
    <row r="106" ht="15.75" customHeight="1">
      <c r="A106" s="4" t="s">
        <v>397</v>
      </c>
      <c r="B106" s="4">
        <v>0.0</v>
      </c>
      <c r="C106" s="4">
        <v>0.0</v>
      </c>
      <c r="D106" s="4" t="s">
        <v>225</v>
      </c>
      <c r="E106" s="12" t="s">
        <v>390</v>
      </c>
    </row>
    <row r="107" ht="15.75" customHeight="1">
      <c r="A107" s="4" t="s">
        <v>399</v>
      </c>
      <c r="B107" s="4">
        <v>0.0</v>
      </c>
      <c r="C107" s="4">
        <v>0.0</v>
      </c>
      <c r="D107" s="4" t="s">
        <v>225</v>
      </c>
      <c r="E107" s="12" t="s">
        <v>390</v>
      </c>
    </row>
    <row r="108" ht="15.75" customHeight="1">
      <c r="A108" s="4" t="s">
        <v>402</v>
      </c>
      <c r="B108" s="4">
        <v>0.0</v>
      </c>
      <c r="C108" s="4">
        <v>0.0</v>
      </c>
      <c r="D108" s="4" t="s">
        <v>225</v>
      </c>
      <c r="E108" s="12" t="s">
        <v>390</v>
      </c>
    </row>
    <row r="109" ht="15.75" customHeight="1">
      <c r="A109" s="4" t="s">
        <v>404</v>
      </c>
      <c r="B109" s="4">
        <v>0.0</v>
      </c>
      <c r="C109" s="4">
        <v>0.0</v>
      </c>
      <c r="D109" s="4" t="s">
        <v>225</v>
      </c>
      <c r="E109" s="12" t="s">
        <v>390</v>
      </c>
    </row>
    <row r="110" ht="15.75" customHeight="1">
      <c r="A110" s="4" t="s">
        <v>405</v>
      </c>
      <c r="B110" s="4">
        <v>0.0</v>
      </c>
      <c r="C110" s="4">
        <v>0.0</v>
      </c>
      <c r="D110" s="4" t="s">
        <v>225</v>
      </c>
      <c r="E110" s="12" t="s">
        <v>390</v>
      </c>
    </row>
    <row r="111" ht="15.75" customHeight="1">
      <c r="A111" s="4" t="s">
        <v>407</v>
      </c>
      <c r="B111" s="4">
        <v>0.0</v>
      </c>
      <c r="C111" s="4">
        <v>0.0</v>
      </c>
      <c r="D111" s="4" t="s">
        <v>225</v>
      </c>
      <c r="E111" s="12" t="s">
        <v>390</v>
      </c>
    </row>
    <row r="112" ht="15.75" customHeight="1">
      <c r="A112" s="4" t="s">
        <v>408</v>
      </c>
      <c r="B112" s="4">
        <v>0.0</v>
      </c>
      <c r="C112" s="4">
        <v>0.0</v>
      </c>
      <c r="D112" s="4" t="s">
        <v>225</v>
      </c>
      <c r="E112" s="12" t="s">
        <v>390</v>
      </c>
    </row>
    <row r="113" ht="15.75" customHeight="1">
      <c r="A113" s="4" t="s">
        <v>410</v>
      </c>
      <c r="B113" s="4">
        <v>0.0</v>
      </c>
      <c r="C113" s="4">
        <v>0.0</v>
      </c>
      <c r="D113" s="4" t="s">
        <v>225</v>
      </c>
      <c r="E113" s="12" t="s">
        <v>390</v>
      </c>
    </row>
    <row r="114" ht="15.75" customHeight="1">
      <c r="A114" s="4" t="s">
        <v>412</v>
      </c>
      <c r="B114" s="4">
        <v>0.0</v>
      </c>
      <c r="C114" s="4">
        <v>0.0</v>
      </c>
      <c r="D114" s="4" t="s">
        <v>225</v>
      </c>
      <c r="E114" s="12" t="s">
        <v>390</v>
      </c>
    </row>
    <row r="115" ht="15.75" customHeight="1">
      <c r="A115" s="4" t="s">
        <v>414</v>
      </c>
      <c r="B115" s="4">
        <v>0.0</v>
      </c>
      <c r="C115" s="4">
        <v>0.0</v>
      </c>
      <c r="D115" s="4" t="s">
        <v>225</v>
      </c>
      <c r="E115" s="12" t="s">
        <v>390</v>
      </c>
    </row>
    <row r="116" ht="15.75" customHeight="1">
      <c r="A116" s="4" t="s">
        <v>415</v>
      </c>
      <c r="B116" s="4">
        <v>0.0</v>
      </c>
      <c r="C116" s="4">
        <v>0.0</v>
      </c>
      <c r="D116" s="4" t="s">
        <v>225</v>
      </c>
      <c r="E116" s="12" t="s">
        <v>390</v>
      </c>
    </row>
    <row r="117" ht="15.75" customHeight="1">
      <c r="A117" s="4" t="s">
        <v>417</v>
      </c>
      <c r="B117" s="4">
        <v>0.0</v>
      </c>
      <c r="C117" s="4">
        <v>0.0</v>
      </c>
      <c r="D117" s="4" t="s">
        <v>225</v>
      </c>
      <c r="E117" s="12" t="s">
        <v>390</v>
      </c>
    </row>
    <row r="118" ht="15.75" customHeight="1">
      <c r="A118" s="4" t="s">
        <v>418</v>
      </c>
      <c r="B118" s="4">
        <v>0.0</v>
      </c>
      <c r="C118" s="4">
        <v>0.0</v>
      </c>
      <c r="D118" s="4" t="s">
        <v>225</v>
      </c>
      <c r="E118" s="12" t="s">
        <v>390</v>
      </c>
    </row>
    <row r="119" ht="15.75" customHeight="1">
      <c r="A119" s="4" t="s">
        <v>420</v>
      </c>
      <c r="B119" s="4">
        <v>0.0</v>
      </c>
      <c r="C119" s="4">
        <v>0.0</v>
      </c>
      <c r="D119" s="4" t="s">
        <v>225</v>
      </c>
      <c r="E119" s="12" t="s">
        <v>390</v>
      </c>
    </row>
    <row r="120" ht="15.75" customHeight="1">
      <c r="A120" s="4" t="s">
        <v>421</v>
      </c>
      <c r="B120" s="4">
        <v>0.0</v>
      </c>
      <c r="C120" s="4">
        <v>0.0</v>
      </c>
      <c r="D120" s="4" t="s">
        <v>225</v>
      </c>
      <c r="E120" s="12" t="s">
        <v>390</v>
      </c>
    </row>
    <row r="121" ht="15.75" customHeight="1">
      <c r="A121" s="4" t="s">
        <v>423</v>
      </c>
      <c r="B121" s="4">
        <v>0.0</v>
      </c>
      <c r="C121" s="4">
        <v>0.0</v>
      </c>
      <c r="D121" s="4" t="s">
        <v>225</v>
      </c>
      <c r="E121" s="12" t="s">
        <v>390</v>
      </c>
    </row>
    <row r="122" ht="15.75" customHeight="1">
      <c r="A122" s="4" t="s">
        <v>424</v>
      </c>
      <c r="B122" s="4">
        <v>0.0</v>
      </c>
      <c r="C122" s="4">
        <v>0.0</v>
      </c>
      <c r="D122" s="4" t="s">
        <v>225</v>
      </c>
      <c r="E122" s="12" t="s">
        <v>390</v>
      </c>
    </row>
    <row r="123" ht="15.75" customHeight="1">
      <c r="A123" s="4" t="s">
        <v>425</v>
      </c>
      <c r="B123" s="4">
        <v>0.0</v>
      </c>
      <c r="C123" s="4">
        <v>0.0</v>
      </c>
      <c r="D123" s="4" t="s">
        <v>225</v>
      </c>
      <c r="E123" s="12" t="s">
        <v>390</v>
      </c>
    </row>
    <row r="124" ht="15.75" customHeight="1">
      <c r="A124" s="4" t="s">
        <v>427</v>
      </c>
      <c r="B124" s="4">
        <v>0.0</v>
      </c>
      <c r="C124" s="4">
        <v>0.0</v>
      </c>
      <c r="D124" s="4" t="s">
        <v>225</v>
      </c>
      <c r="E124" s="12" t="s">
        <v>390</v>
      </c>
    </row>
    <row r="125" ht="15.75" customHeight="1">
      <c r="A125" s="4" t="s">
        <v>428</v>
      </c>
      <c r="B125" s="4">
        <v>0.0</v>
      </c>
      <c r="C125" s="4">
        <v>0.0</v>
      </c>
      <c r="D125" s="4" t="s">
        <v>225</v>
      </c>
      <c r="E125" s="12" t="s">
        <v>390</v>
      </c>
    </row>
    <row r="126" ht="15.75" customHeight="1">
      <c r="A126" s="4" t="s">
        <v>430</v>
      </c>
      <c r="B126" s="4">
        <v>0.0</v>
      </c>
      <c r="C126" s="4">
        <v>0.0</v>
      </c>
      <c r="D126" s="4" t="s">
        <v>225</v>
      </c>
      <c r="E126" s="12" t="s">
        <v>390</v>
      </c>
    </row>
    <row r="127" ht="15.75" customHeight="1">
      <c r="A127" s="4" t="s">
        <v>431</v>
      </c>
      <c r="B127" s="4">
        <v>0.0</v>
      </c>
      <c r="C127" s="4">
        <v>0.0</v>
      </c>
      <c r="D127" s="4" t="s">
        <v>225</v>
      </c>
      <c r="E127" s="12" t="s">
        <v>390</v>
      </c>
    </row>
    <row r="128" ht="15.75" customHeight="1">
      <c r="A128" s="4" t="s">
        <v>433</v>
      </c>
      <c r="B128" s="4">
        <v>0.0</v>
      </c>
      <c r="C128" s="4">
        <v>0.0</v>
      </c>
      <c r="D128" s="4" t="s">
        <v>225</v>
      </c>
      <c r="E128" s="12" t="s">
        <v>390</v>
      </c>
    </row>
    <row r="129" ht="15.75" customHeight="1">
      <c r="A129" s="4" t="s">
        <v>434</v>
      </c>
      <c r="B129" s="4">
        <v>0.0</v>
      </c>
      <c r="C129" s="4">
        <v>0.0</v>
      </c>
      <c r="D129" s="4" t="s">
        <v>225</v>
      </c>
      <c r="E129" s="12" t="s">
        <v>390</v>
      </c>
    </row>
    <row r="130" ht="15.75" customHeight="1">
      <c r="A130" s="4" t="s">
        <v>436</v>
      </c>
      <c r="B130" s="4">
        <v>0.0</v>
      </c>
      <c r="C130" s="4">
        <v>0.0</v>
      </c>
      <c r="D130" s="4" t="s">
        <v>225</v>
      </c>
      <c r="E130" s="12" t="s">
        <v>390</v>
      </c>
    </row>
    <row r="131" ht="15.75" customHeight="1">
      <c r="A131" s="4" t="s">
        <v>437</v>
      </c>
      <c r="B131" s="4">
        <v>0.0</v>
      </c>
      <c r="C131" s="4">
        <v>0.0</v>
      </c>
      <c r="D131" s="4" t="s">
        <v>225</v>
      </c>
      <c r="E131" s="12" t="s">
        <v>390</v>
      </c>
    </row>
    <row r="132" ht="15.75" customHeight="1">
      <c r="A132" s="4" t="s">
        <v>439</v>
      </c>
      <c r="B132" s="4">
        <v>0.0</v>
      </c>
      <c r="C132" s="4">
        <v>0.0</v>
      </c>
      <c r="D132" s="4" t="s">
        <v>225</v>
      </c>
      <c r="E132" s="12" t="s">
        <v>390</v>
      </c>
    </row>
    <row r="133" ht="15.75" customHeight="1">
      <c r="A133" s="4" t="s">
        <v>441</v>
      </c>
      <c r="B133" s="4">
        <v>0.0</v>
      </c>
      <c r="C133" s="4">
        <v>0.0</v>
      </c>
      <c r="D133" s="4" t="s">
        <v>225</v>
      </c>
      <c r="E133" s="12" t="s">
        <v>390</v>
      </c>
    </row>
    <row r="134" ht="15.75" customHeight="1">
      <c r="A134" s="4" t="s">
        <v>442</v>
      </c>
      <c r="B134" s="4">
        <v>0.0</v>
      </c>
      <c r="C134" s="4">
        <v>0.0</v>
      </c>
      <c r="D134" s="4" t="s">
        <v>225</v>
      </c>
      <c r="E134" s="12" t="s">
        <v>390</v>
      </c>
    </row>
    <row r="135" ht="15.75" customHeight="1">
      <c r="A135" s="4" t="s">
        <v>446</v>
      </c>
      <c r="B135" s="4">
        <v>0.0</v>
      </c>
      <c r="C135" s="4">
        <v>0.0</v>
      </c>
      <c r="D135" s="4" t="s">
        <v>225</v>
      </c>
      <c r="E135" s="12" t="s">
        <v>390</v>
      </c>
    </row>
    <row r="136" ht="15.75" customHeight="1">
      <c r="A136" s="4" t="s">
        <v>448</v>
      </c>
      <c r="B136" s="4">
        <v>0.0</v>
      </c>
      <c r="C136" s="4">
        <v>0.0</v>
      </c>
      <c r="D136" s="4" t="s">
        <v>225</v>
      </c>
      <c r="E136" s="12" t="s">
        <v>390</v>
      </c>
    </row>
    <row r="137" ht="15.75" customHeight="1">
      <c r="A137" s="4" t="s">
        <v>449</v>
      </c>
      <c r="B137" s="4">
        <v>0.0</v>
      </c>
      <c r="C137" s="4">
        <v>0.0</v>
      </c>
      <c r="D137" s="4" t="s">
        <v>225</v>
      </c>
      <c r="E137" s="12" t="s">
        <v>390</v>
      </c>
    </row>
    <row r="138" ht="15.75" customHeight="1">
      <c r="A138" s="4" t="s">
        <v>451</v>
      </c>
      <c r="B138" s="4">
        <v>0.0</v>
      </c>
      <c r="C138" s="4">
        <v>0.0</v>
      </c>
      <c r="D138" s="4" t="s">
        <v>225</v>
      </c>
      <c r="E138" s="12" t="s">
        <v>390</v>
      </c>
    </row>
    <row r="139" ht="15.75" customHeight="1">
      <c r="A139" s="4" t="s">
        <v>453</v>
      </c>
      <c r="B139" s="4">
        <v>0.0</v>
      </c>
      <c r="C139" s="4">
        <v>0.0</v>
      </c>
      <c r="D139" s="4" t="s">
        <v>225</v>
      </c>
      <c r="E139" s="12" t="s">
        <v>390</v>
      </c>
    </row>
    <row r="140" ht="15.75" customHeight="1">
      <c r="A140" s="4" t="s">
        <v>455</v>
      </c>
      <c r="B140" s="4">
        <v>0.0</v>
      </c>
      <c r="C140" s="4">
        <v>0.0</v>
      </c>
      <c r="D140" s="4" t="s">
        <v>225</v>
      </c>
      <c r="E140" s="12" t="s">
        <v>390</v>
      </c>
    </row>
    <row r="141" ht="15.75" customHeight="1">
      <c r="A141" s="4" t="s">
        <v>457</v>
      </c>
      <c r="B141" s="4">
        <v>0.0</v>
      </c>
      <c r="C141" s="4">
        <v>0.0</v>
      </c>
      <c r="D141" s="4" t="s">
        <v>225</v>
      </c>
      <c r="E141" s="12" t="s">
        <v>390</v>
      </c>
    </row>
    <row r="142" ht="15.75" customHeight="1">
      <c r="A142" s="4" t="s">
        <v>459</v>
      </c>
      <c r="B142" s="4">
        <v>0.0</v>
      </c>
      <c r="C142" s="4">
        <v>0.0</v>
      </c>
      <c r="D142" s="4" t="s">
        <v>225</v>
      </c>
      <c r="E142" s="12" t="s">
        <v>390</v>
      </c>
    </row>
    <row r="143" ht="15.75" customHeight="1">
      <c r="A143" s="4" t="s">
        <v>461</v>
      </c>
      <c r="B143" s="4">
        <v>0.0</v>
      </c>
      <c r="C143" s="4">
        <v>0.0</v>
      </c>
      <c r="D143" s="4" t="s">
        <v>225</v>
      </c>
      <c r="E143" s="12" t="s">
        <v>390</v>
      </c>
    </row>
    <row r="144" ht="15.75" customHeight="1">
      <c r="A144" s="4" t="s">
        <v>463</v>
      </c>
      <c r="B144" s="4">
        <v>0.0</v>
      </c>
      <c r="C144" s="4">
        <v>0.0</v>
      </c>
      <c r="D144" s="4" t="s">
        <v>225</v>
      </c>
      <c r="E144" s="12" t="s">
        <v>390</v>
      </c>
    </row>
    <row r="145" ht="15.75" customHeight="1">
      <c r="A145" s="4" t="s">
        <v>465</v>
      </c>
      <c r="B145" s="4">
        <v>0.0</v>
      </c>
      <c r="C145" s="4">
        <v>0.0</v>
      </c>
      <c r="D145" s="4" t="s">
        <v>225</v>
      </c>
      <c r="E145" s="12" t="s">
        <v>390</v>
      </c>
    </row>
    <row r="146" ht="15.75" customHeight="1">
      <c r="A146" s="4" t="s">
        <v>467</v>
      </c>
      <c r="B146" s="4">
        <v>0.0</v>
      </c>
      <c r="C146" s="4">
        <v>0.0</v>
      </c>
      <c r="D146" s="4" t="s">
        <v>225</v>
      </c>
      <c r="E146" s="12" t="s">
        <v>390</v>
      </c>
    </row>
    <row r="147" ht="15.75" customHeight="1">
      <c r="A147" s="4" t="s">
        <v>470</v>
      </c>
      <c r="B147" s="4">
        <v>0.0</v>
      </c>
      <c r="C147" s="4">
        <v>0.0</v>
      </c>
      <c r="D147" s="4" t="s">
        <v>225</v>
      </c>
      <c r="E147" s="12" t="s">
        <v>390</v>
      </c>
    </row>
    <row r="148" ht="15.75" customHeight="1">
      <c r="A148" s="4" t="s">
        <v>472</v>
      </c>
      <c r="B148" s="4">
        <v>0.0</v>
      </c>
      <c r="C148" s="4">
        <v>0.0</v>
      </c>
      <c r="D148" s="4" t="s">
        <v>225</v>
      </c>
      <c r="E148" s="12" t="s">
        <v>390</v>
      </c>
    </row>
    <row r="149" ht="15.75" customHeight="1">
      <c r="A149" s="4" t="s">
        <v>474</v>
      </c>
      <c r="B149" s="4">
        <v>0.0</v>
      </c>
      <c r="C149" s="4">
        <v>0.0</v>
      </c>
      <c r="D149" s="4" t="s">
        <v>225</v>
      </c>
      <c r="E149" s="12" t="s">
        <v>390</v>
      </c>
    </row>
    <row r="150" ht="15.75" customHeight="1">
      <c r="A150" s="4" t="s">
        <v>476</v>
      </c>
      <c r="B150" s="4">
        <v>0.0</v>
      </c>
      <c r="C150" s="4">
        <v>0.0</v>
      </c>
      <c r="D150" s="4" t="s">
        <v>225</v>
      </c>
      <c r="E150" s="12" t="s">
        <v>390</v>
      </c>
    </row>
    <row r="151" ht="15.75" customHeight="1">
      <c r="A151" s="4" t="s">
        <v>477</v>
      </c>
      <c r="B151" s="4">
        <v>0.0</v>
      </c>
      <c r="C151" s="4">
        <v>0.0</v>
      </c>
      <c r="D151" s="4" t="s">
        <v>225</v>
      </c>
      <c r="E151" s="12" t="s">
        <v>390</v>
      </c>
    </row>
    <row r="152" ht="15.75" customHeight="1">
      <c r="A152" s="4" t="s">
        <v>479</v>
      </c>
      <c r="B152" s="4">
        <v>0.0</v>
      </c>
      <c r="C152" s="4">
        <v>0.0</v>
      </c>
      <c r="D152" s="4" t="s">
        <v>225</v>
      </c>
      <c r="E152" s="12" t="s">
        <v>390</v>
      </c>
    </row>
    <row r="153" ht="15.75" customHeight="1">
      <c r="A153" s="4" t="s">
        <v>480</v>
      </c>
      <c r="B153" s="4">
        <v>0.0</v>
      </c>
      <c r="C153" s="4">
        <v>0.0</v>
      </c>
      <c r="D153" s="4" t="s">
        <v>225</v>
      </c>
      <c r="E153" s="12" t="s">
        <v>390</v>
      </c>
    </row>
    <row r="154" ht="15.75" customHeight="1">
      <c r="A154" s="4" t="s">
        <v>482</v>
      </c>
      <c r="B154" s="4">
        <v>0.0</v>
      </c>
      <c r="C154" s="4">
        <v>0.0</v>
      </c>
      <c r="D154" s="4" t="s">
        <v>225</v>
      </c>
      <c r="E154" s="12" t="s">
        <v>390</v>
      </c>
    </row>
    <row r="155" ht="15.75" customHeight="1">
      <c r="A155" s="4" t="s">
        <v>483</v>
      </c>
      <c r="B155" s="4">
        <v>0.0</v>
      </c>
      <c r="C155" s="4">
        <v>0.0</v>
      </c>
      <c r="D155" s="4" t="s">
        <v>225</v>
      </c>
      <c r="E155" s="12" t="s">
        <v>390</v>
      </c>
    </row>
    <row r="156" ht="15.75" customHeight="1">
      <c r="A156" s="4" t="s">
        <v>485</v>
      </c>
      <c r="B156" s="4">
        <v>0.0</v>
      </c>
      <c r="C156" s="4">
        <v>0.0</v>
      </c>
      <c r="D156" s="4" t="s">
        <v>225</v>
      </c>
      <c r="E156" s="12" t="s">
        <v>390</v>
      </c>
    </row>
    <row r="157" ht="15.75" customHeight="1">
      <c r="A157" s="4" t="s">
        <v>487</v>
      </c>
      <c r="B157" s="4">
        <v>0.0</v>
      </c>
      <c r="C157" s="4">
        <v>0.0</v>
      </c>
      <c r="D157" s="4" t="s">
        <v>225</v>
      </c>
      <c r="E157" s="12" t="s">
        <v>390</v>
      </c>
    </row>
    <row r="158" ht="15.75" customHeight="1">
      <c r="A158" s="4" t="s">
        <v>488</v>
      </c>
      <c r="B158" s="4">
        <v>0.0</v>
      </c>
      <c r="C158" s="4">
        <v>0.0</v>
      </c>
      <c r="D158" s="4" t="s">
        <v>225</v>
      </c>
      <c r="E158" s="12" t="s">
        <v>390</v>
      </c>
    </row>
    <row r="159" ht="15.75" customHeight="1">
      <c r="A159" s="4" t="s">
        <v>490</v>
      </c>
      <c r="B159" s="4">
        <v>0.0</v>
      </c>
      <c r="C159" s="4">
        <v>0.0</v>
      </c>
      <c r="D159" s="4" t="s">
        <v>225</v>
      </c>
      <c r="E159" s="12" t="s">
        <v>390</v>
      </c>
    </row>
    <row r="160" ht="15.75" customHeight="1">
      <c r="A160" s="4" t="s">
        <v>492</v>
      </c>
      <c r="B160" s="4">
        <v>0.0</v>
      </c>
      <c r="C160" s="4">
        <v>0.0</v>
      </c>
      <c r="D160" s="4" t="s">
        <v>225</v>
      </c>
      <c r="E160" s="12" t="s">
        <v>390</v>
      </c>
    </row>
    <row r="161" ht="15.75" customHeight="1">
      <c r="A161" s="4" t="s">
        <v>493</v>
      </c>
      <c r="B161" s="4">
        <v>0.0</v>
      </c>
      <c r="C161" s="4">
        <v>0.0</v>
      </c>
      <c r="D161" s="4" t="s">
        <v>225</v>
      </c>
      <c r="E161" s="12" t="s">
        <v>390</v>
      </c>
    </row>
    <row r="162" ht="15.75" customHeight="1">
      <c r="A162" s="4" t="s">
        <v>495</v>
      </c>
      <c r="B162" s="4">
        <v>0.0</v>
      </c>
      <c r="C162" s="4">
        <v>0.0</v>
      </c>
      <c r="D162" s="4" t="s">
        <v>225</v>
      </c>
      <c r="E162" s="12" t="s">
        <v>390</v>
      </c>
    </row>
    <row r="163" ht="15.75" customHeight="1">
      <c r="A163" s="4" t="s">
        <v>496</v>
      </c>
      <c r="B163" s="4">
        <v>0.0</v>
      </c>
      <c r="C163" s="4">
        <v>0.0</v>
      </c>
      <c r="D163" s="4" t="s">
        <v>225</v>
      </c>
      <c r="E163" s="12" t="s">
        <v>390</v>
      </c>
    </row>
    <row r="164" ht="15.75" customHeight="1">
      <c r="A164" s="4" t="s">
        <v>497</v>
      </c>
      <c r="B164" s="4">
        <v>0.0</v>
      </c>
      <c r="C164" s="4">
        <v>0.0</v>
      </c>
      <c r="D164" s="4" t="s">
        <v>225</v>
      </c>
      <c r="E164" s="12" t="s">
        <v>390</v>
      </c>
    </row>
    <row r="165" ht="15.75" customHeight="1">
      <c r="A165" s="4" t="s">
        <v>499</v>
      </c>
      <c r="B165" s="4">
        <v>0.0</v>
      </c>
      <c r="C165" s="4">
        <v>0.0</v>
      </c>
      <c r="D165" s="4" t="s">
        <v>225</v>
      </c>
      <c r="E165" s="12" t="s">
        <v>390</v>
      </c>
    </row>
    <row r="166" ht="15.75" customHeight="1">
      <c r="A166" s="4" t="s">
        <v>501</v>
      </c>
      <c r="B166" s="4">
        <v>0.0</v>
      </c>
      <c r="C166" s="4">
        <v>0.0</v>
      </c>
      <c r="D166" s="4" t="s">
        <v>225</v>
      </c>
      <c r="E166" s="12" t="s">
        <v>390</v>
      </c>
    </row>
    <row r="167" ht="15.75" customHeight="1">
      <c r="A167" s="4" t="s">
        <v>502</v>
      </c>
      <c r="B167" s="4">
        <v>0.0</v>
      </c>
      <c r="C167" s="4">
        <v>0.0</v>
      </c>
      <c r="D167" s="4" t="s">
        <v>225</v>
      </c>
      <c r="E167" s="12" t="s">
        <v>390</v>
      </c>
    </row>
    <row r="168" ht="15.75" customHeight="1">
      <c r="A168" s="4" t="s">
        <v>504</v>
      </c>
      <c r="B168" s="4">
        <v>0.0</v>
      </c>
      <c r="C168" s="4">
        <v>0.0</v>
      </c>
      <c r="D168" s="4" t="s">
        <v>225</v>
      </c>
      <c r="E168" s="12" t="s">
        <v>390</v>
      </c>
    </row>
    <row r="169" ht="15.75" customHeight="1">
      <c r="A169" s="4" t="s">
        <v>506</v>
      </c>
      <c r="B169" s="4">
        <v>0.0</v>
      </c>
      <c r="C169" s="4">
        <v>0.0</v>
      </c>
      <c r="D169" s="4" t="s">
        <v>225</v>
      </c>
      <c r="E169" s="12" t="s">
        <v>390</v>
      </c>
    </row>
    <row r="170" ht="15.75" customHeight="1">
      <c r="A170" s="4" t="s">
        <v>508</v>
      </c>
      <c r="B170" s="4">
        <v>0.0</v>
      </c>
      <c r="C170" s="4">
        <v>0.0</v>
      </c>
      <c r="D170" s="4" t="s">
        <v>225</v>
      </c>
      <c r="E170" s="12" t="s">
        <v>390</v>
      </c>
    </row>
    <row r="171" ht="15.75" customHeight="1">
      <c r="A171" s="4" t="s">
        <v>510</v>
      </c>
      <c r="B171" s="4">
        <v>0.0</v>
      </c>
      <c r="C171" s="4">
        <v>0.0</v>
      </c>
      <c r="D171" s="4" t="s">
        <v>225</v>
      </c>
      <c r="E171" s="12" t="s">
        <v>390</v>
      </c>
    </row>
    <row r="172" ht="15.75" customHeight="1">
      <c r="A172" s="4" t="s">
        <v>511</v>
      </c>
      <c r="B172" s="4">
        <v>0.0</v>
      </c>
      <c r="C172" s="4">
        <v>0.0</v>
      </c>
      <c r="D172" s="4" t="s">
        <v>225</v>
      </c>
      <c r="E172" s="12" t="s">
        <v>390</v>
      </c>
    </row>
    <row r="173" ht="15.75" customHeight="1">
      <c r="A173" s="4" t="s">
        <v>513</v>
      </c>
      <c r="B173" s="4">
        <v>0.0</v>
      </c>
      <c r="C173" s="4">
        <v>0.0</v>
      </c>
      <c r="D173" s="4" t="s">
        <v>225</v>
      </c>
      <c r="E173" s="12" t="s">
        <v>390</v>
      </c>
    </row>
    <row r="174" ht="15.75" customHeight="1">
      <c r="A174" s="4" t="s">
        <v>515</v>
      </c>
      <c r="B174" s="4">
        <v>0.0</v>
      </c>
      <c r="C174" s="4">
        <v>0.0</v>
      </c>
      <c r="D174" s="4" t="s">
        <v>225</v>
      </c>
      <c r="E174" s="12" t="s">
        <v>390</v>
      </c>
    </row>
    <row r="175" ht="15.75" customHeight="1">
      <c r="A175" s="4" t="s">
        <v>517</v>
      </c>
      <c r="B175" s="4">
        <v>0.0</v>
      </c>
      <c r="C175" s="4">
        <v>0.0</v>
      </c>
      <c r="D175" s="4" t="s">
        <v>225</v>
      </c>
      <c r="E175" s="12" t="s">
        <v>390</v>
      </c>
    </row>
    <row r="176" ht="15.75" customHeight="1">
      <c r="A176" s="4" t="s">
        <v>518</v>
      </c>
      <c r="B176" s="4">
        <v>0.0</v>
      </c>
      <c r="C176" s="4">
        <v>0.0</v>
      </c>
      <c r="D176" s="4" t="s">
        <v>225</v>
      </c>
      <c r="E176" s="12" t="s">
        <v>390</v>
      </c>
    </row>
    <row r="177" ht="15.75" customHeight="1">
      <c r="A177" s="4" t="s">
        <v>519</v>
      </c>
      <c r="B177" s="4">
        <v>0.0</v>
      </c>
      <c r="C177" s="4">
        <v>0.0</v>
      </c>
      <c r="D177" s="4" t="s">
        <v>225</v>
      </c>
      <c r="E177" s="12" t="s">
        <v>390</v>
      </c>
    </row>
    <row r="178" ht="15.75" customHeight="1">
      <c r="A178" s="4" t="s">
        <v>520</v>
      </c>
      <c r="B178" s="4">
        <v>0.0</v>
      </c>
      <c r="C178" s="4">
        <v>0.0</v>
      </c>
      <c r="D178" s="4" t="s">
        <v>225</v>
      </c>
      <c r="E178" s="12" t="s">
        <v>390</v>
      </c>
    </row>
    <row r="179" ht="15.75" customHeight="1">
      <c r="A179" s="4" t="s">
        <v>521</v>
      </c>
      <c r="B179" s="4">
        <v>0.0</v>
      </c>
      <c r="C179" s="4">
        <v>0.0</v>
      </c>
      <c r="D179" s="4" t="s">
        <v>225</v>
      </c>
      <c r="E179" s="12" t="s">
        <v>390</v>
      </c>
    </row>
    <row r="180" ht="15.75" customHeight="1">
      <c r="A180" s="4" t="s">
        <v>523</v>
      </c>
      <c r="B180" s="4">
        <v>0.0</v>
      </c>
      <c r="C180" s="4">
        <v>0.0</v>
      </c>
      <c r="D180" s="4" t="s">
        <v>225</v>
      </c>
      <c r="E180" s="12" t="s">
        <v>390</v>
      </c>
    </row>
    <row r="181" ht="15.75" customHeight="1">
      <c r="A181" s="4" t="s">
        <v>524</v>
      </c>
      <c r="B181" s="4">
        <v>0.0</v>
      </c>
      <c r="C181" s="4">
        <v>0.0</v>
      </c>
      <c r="D181" s="4" t="s">
        <v>225</v>
      </c>
      <c r="E181" s="12" t="s">
        <v>390</v>
      </c>
    </row>
    <row r="182" ht="15.75" customHeight="1">
      <c r="A182" s="4" t="s">
        <v>527</v>
      </c>
      <c r="B182" s="4">
        <v>0.0</v>
      </c>
      <c r="C182" s="4">
        <v>0.0</v>
      </c>
      <c r="D182" s="4" t="s">
        <v>225</v>
      </c>
      <c r="E182" s="12" t="s">
        <v>390</v>
      </c>
    </row>
    <row r="183" ht="15.75" customHeight="1">
      <c r="A183" s="4" t="s">
        <v>529</v>
      </c>
      <c r="B183" s="4">
        <v>0.0</v>
      </c>
      <c r="C183" s="4">
        <v>0.0</v>
      </c>
      <c r="D183" s="4" t="s">
        <v>225</v>
      </c>
      <c r="E183" s="12" t="s">
        <v>390</v>
      </c>
    </row>
    <row r="184" ht="15.75" customHeight="1">
      <c r="A184" s="4" t="s">
        <v>530</v>
      </c>
      <c r="B184" s="4">
        <v>0.0</v>
      </c>
      <c r="C184" s="4">
        <v>0.0</v>
      </c>
      <c r="D184" s="4" t="s">
        <v>225</v>
      </c>
      <c r="E184" s="12" t="s">
        <v>390</v>
      </c>
    </row>
    <row r="185" ht="15.75" customHeight="1">
      <c r="A185" s="4" t="s">
        <v>532</v>
      </c>
      <c r="B185" s="4">
        <v>0.0</v>
      </c>
      <c r="C185" s="4">
        <v>0.0</v>
      </c>
      <c r="D185" s="4" t="s">
        <v>225</v>
      </c>
      <c r="E185" s="12" t="s">
        <v>390</v>
      </c>
    </row>
    <row r="186" ht="15.75" customHeight="1">
      <c r="A186" s="4" t="s">
        <v>533</v>
      </c>
      <c r="B186" s="4">
        <v>0.0</v>
      </c>
      <c r="C186" s="4">
        <v>0.0</v>
      </c>
      <c r="D186" s="4" t="s">
        <v>225</v>
      </c>
      <c r="E186" s="12" t="s">
        <v>390</v>
      </c>
    </row>
    <row r="187" ht="15.75" customHeight="1">
      <c r="A187" s="4" t="s">
        <v>535</v>
      </c>
      <c r="B187" s="4">
        <v>0.0</v>
      </c>
      <c r="C187" s="4">
        <v>0.0</v>
      </c>
      <c r="D187" s="4" t="s">
        <v>225</v>
      </c>
      <c r="E187" s="12" t="s">
        <v>390</v>
      </c>
    </row>
    <row r="188" ht="15.75" customHeight="1">
      <c r="A188" s="4" t="s">
        <v>536</v>
      </c>
      <c r="B188" s="4">
        <v>0.0</v>
      </c>
      <c r="C188" s="4">
        <v>0.0</v>
      </c>
      <c r="D188" s="4" t="s">
        <v>225</v>
      </c>
      <c r="E188" s="12" t="s">
        <v>390</v>
      </c>
    </row>
    <row r="189" ht="15.75" customHeight="1">
      <c r="A189" s="4" t="s">
        <v>537</v>
      </c>
      <c r="B189" s="4">
        <v>0.0</v>
      </c>
      <c r="C189" s="4">
        <v>0.0</v>
      </c>
      <c r="D189" s="4" t="s">
        <v>225</v>
      </c>
      <c r="E189" s="12" t="s">
        <v>390</v>
      </c>
    </row>
    <row r="190" ht="15.75" customHeight="1">
      <c r="A190" s="4" t="s">
        <v>539</v>
      </c>
      <c r="B190" s="4">
        <v>0.0</v>
      </c>
      <c r="C190" s="4">
        <v>0.0</v>
      </c>
      <c r="D190" s="4" t="s">
        <v>225</v>
      </c>
      <c r="E190" s="12" t="s">
        <v>390</v>
      </c>
    </row>
    <row r="191" ht="15.75" customHeight="1">
      <c r="A191" s="4" t="s">
        <v>540</v>
      </c>
      <c r="B191" s="4">
        <v>0.0</v>
      </c>
      <c r="C191" s="4">
        <v>0.0</v>
      </c>
      <c r="D191" s="4" t="s">
        <v>225</v>
      </c>
      <c r="E191" s="12" t="s">
        <v>390</v>
      </c>
    </row>
    <row r="192" ht="15.75" customHeight="1">
      <c r="A192" s="4" t="s">
        <v>542</v>
      </c>
      <c r="B192" s="4">
        <v>0.0</v>
      </c>
      <c r="C192" s="4">
        <v>0.0</v>
      </c>
      <c r="D192" s="4" t="s">
        <v>225</v>
      </c>
      <c r="E192" s="12" t="s">
        <v>390</v>
      </c>
    </row>
    <row r="193" ht="15.75" customHeight="1">
      <c r="A193" s="4" t="s">
        <v>543</v>
      </c>
      <c r="B193" s="4">
        <v>0.0</v>
      </c>
      <c r="C193" s="4">
        <v>0.0</v>
      </c>
      <c r="D193" s="4" t="s">
        <v>225</v>
      </c>
      <c r="E193" s="12" t="s">
        <v>390</v>
      </c>
    </row>
    <row r="194" ht="15.75" customHeight="1">
      <c r="A194" s="4" t="s">
        <v>546</v>
      </c>
      <c r="B194" s="4">
        <v>0.0</v>
      </c>
      <c r="C194" s="4">
        <v>0.0</v>
      </c>
      <c r="D194" s="4" t="s">
        <v>225</v>
      </c>
      <c r="E194" s="12" t="s">
        <v>390</v>
      </c>
    </row>
    <row r="195" ht="15.75" customHeight="1">
      <c r="A195" s="4" t="s">
        <v>548</v>
      </c>
      <c r="B195" s="4">
        <v>0.0</v>
      </c>
      <c r="C195" s="4">
        <v>0.0</v>
      </c>
      <c r="D195" s="4" t="s">
        <v>225</v>
      </c>
      <c r="E195" s="12" t="s">
        <v>390</v>
      </c>
    </row>
    <row r="196" ht="15.75" customHeight="1">
      <c r="A196" s="4" t="s">
        <v>550</v>
      </c>
      <c r="B196" s="4">
        <v>0.0</v>
      </c>
      <c r="C196" s="4">
        <v>0.0</v>
      </c>
      <c r="D196" s="4" t="s">
        <v>225</v>
      </c>
      <c r="E196" s="12" t="s">
        <v>390</v>
      </c>
    </row>
    <row r="197" ht="15.75" customHeight="1">
      <c r="A197" s="4" t="s">
        <v>551</v>
      </c>
      <c r="B197" s="4">
        <v>0.0</v>
      </c>
      <c r="C197" s="4">
        <v>0.0</v>
      </c>
      <c r="D197" s="4" t="s">
        <v>225</v>
      </c>
      <c r="E197" s="12" t="s">
        <v>390</v>
      </c>
    </row>
    <row r="198" ht="15.75" customHeight="1">
      <c r="A198" s="4" t="s">
        <v>553</v>
      </c>
      <c r="B198" s="4">
        <v>0.0</v>
      </c>
      <c r="C198" s="4">
        <v>0.0</v>
      </c>
      <c r="D198" s="4" t="s">
        <v>225</v>
      </c>
      <c r="E198" s="12" t="s">
        <v>390</v>
      </c>
    </row>
    <row r="199" ht="15.75" customHeight="1">
      <c r="A199" s="4" t="s">
        <v>555</v>
      </c>
      <c r="B199" s="4">
        <v>1300.0</v>
      </c>
      <c r="C199" s="4">
        <v>46.0</v>
      </c>
      <c r="D199" s="4" t="s">
        <v>79</v>
      </c>
      <c r="E199" s="12" t="s">
        <v>556</v>
      </c>
    </row>
    <row r="200" ht="15.75" customHeight="1">
      <c r="A200" s="4" t="s">
        <v>558</v>
      </c>
      <c r="B200" s="4">
        <v>260.0</v>
      </c>
      <c r="C200" s="4">
        <v>46.0</v>
      </c>
      <c r="D200" s="4" t="s">
        <v>52</v>
      </c>
      <c r="E200" s="12" t="s">
        <v>556</v>
      </c>
    </row>
    <row r="201" ht="15.75" customHeight="1">
      <c r="A201" s="4" t="s">
        <v>559</v>
      </c>
      <c r="B201" s="4">
        <v>170.0</v>
      </c>
      <c r="C201" s="4">
        <v>46.0</v>
      </c>
      <c r="D201" s="4" t="s">
        <v>79</v>
      </c>
      <c r="E201" s="12" t="s">
        <v>556</v>
      </c>
    </row>
    <row r="202" ht="15.75" customHeight="1">
      <c r="A202" s="4" t="s">
        <v>561</v>
      </c>
      <c r="B202" s="4">
        <v>720.0</v>
      </c>
      <c r="C202" s="4">
        <v>47.0</v>
      </c>
      <c r="D202" s="4" t="s">
        <v>52</v>
      </c>
      <c r="E202" s="12" t="s">
        <v>563</v>
      </c>
    </row>
    <row r="203" ht="15.75" customHeight="1">
      <c r="A203" s="4" t="s">
        <v>564</v>
      </c>
      <c r="B203" s="4">
        <v>260.0</v>
      </c>
      <c r="C203" s="4">
        <v>47.0</v>
      </c>
      <c r="D203" s="4" t="s">
        <v>80</v>
      </c>
      <c r="E203" s="12" t="s">
        <v>563</v>
      </c>
    </row>
    <row r="204" ht="15.75" customHeight="1">
      <c r="A204" s="4" t="s">
        <v>565</v>
      </c>
      <c r="B204" s="4">
        <v>260.0</v>
      </c>
      <c r="C204" s="4">
        <v>47.0</v>
      </c>
      <c r="D204" s="4" t="s">
        <v>96</v>
      </c>
      <c r="E204" s="12" t="s">
        <v>563</v>
      </c>
    </row>
    <row r="205" ht="15.75" customHeight="1">
      <c r="A205" s="4" t="s">
        <v>567</v>
      </c>
      <c r="B205" s="4">
        <v>140.0</v>
      </c>
      <c r="C205" s="4">
        <v>47.0</v>
      </c>
      <c r="D205" s="4" t="s">
        <v>52</v>
      </c>
      <c r="E205" s="12" t="s">
        <v>563</v>
      </c>
    </row>
    <row r="206" ht="15.75" customHeight="1">
      <c r="A206" s="4" t="s">
        <v>569</v>
      </c>
      <c r="B206" s="4">
        <v>50.0</v>
      </c>
      <c r="C206" s="4">
        <v>47.0</v>
      </c>
      <c r="D206" s="4" t="s">
        <v>52</v>
      </c>
      <c r="E206" s="12" t="s">
        <v>563</v>
      </c>
    </row>
    <row r="207" ht="15.75" customHeight="1">
      <c r="A207" s="4" t="s">
        <v>571</v>
      </c>
      <c r="B207" s="4">
        <v>8100.0</v>
      </c>
      <c r="C207" s="4">
        <v>48.0</v>
      </c>
      <c r="D207" s="4" t="s">
        <v>80</v>
      </c>
      <c r="E207" s="12" t="s">
        <v>572</v>
      </c>
    </row>
    <row r="208" ht="15.75" customHeight="1">
      <c r="A208" s="4" t="s">
        <v>573</v>
      </c>
      <c r="B208" s="4">
        <v>1900.0</v>
      </c>
      <c r="C208" s="4">
        <v>48.0</v>
      </c>
      <c r="D208" s="4" t="s">
        <v>52</v>
      </c>
      <c r="E208" s="12" t="s">
        <v>572</v>
      </c>
    </row>
    <row r="209" ht="15.75" customHeight="1">
      <c r="A209" s="4" t="s">
        <v>575</v>
      </c>
      <c r="B209" s="4">
        <v>880.0</v>
      </c>
      <c r="C209" s="4">
        <v>48.0</v>
      </c>
      <c r="D209" s="4" t="s">
        <v>80</v>
      </c>
      <c r="E209" s="12" t="s">
        <v>572</v>
      </c>
    </row>
    <row r="210" ht="15.75" customHeight="1">
      <c r="A210" s="4" t="s">
        <v>577</v>
      </c>
      <c r="B210" s="4">
        <v>720.0</v>
      </c>
      <c r="C210" s="4">
        <v>48.0</v>
      </c>
      <c r="D210" s="4" t="s">
        <v>79</v>
      </c>
      <c r="E210" s="12" t="s">
        <v>572</v>
      </c>
    </row>
    <row r="211" ht="15.75" customHeight="1">
      <c r="A211" s="4" t="s">
        <v>578</v>
      </c>
      <c r="B211" s="4">
        <v>590.0</v>
      </c>
      <c r="C211" s="4">
        <v>48.0</v>
      </c>
      <c r="D211" s="4" t="s">
        <v>79</v>
      </c>
      <c r="E211" s="12" t="s">
        <v>572</v>
      </c>
    </row>
    <row r="212" ht="15.75" customHeight="1">
      <c r="A212" s="4" t="s">
        <v>580</v>
      </c>
      <c r="B212" s="4">
        <v>210.0</v>
      </c>
      <c r="C212" s="4">
        <v>48.0</v>
      </c>
      <c r="D212" s="4" t="s">
        <v>52</v>
      </c>
      <c r="E212" s="12" t="s">
        <v>572</v>
      </c>
    </row>
    <row r="213" ht="15.75" customHeight="1">
      <c r="A213" s="4" t="s">
        <v>582</v>
      </c>
      <c r="B213" s="4">
        <v>40.0</v>
      </c>
      <c r="C213" s="4">
        <v>48.0</v>
      </c>
      <c r="D213" s="4" t="s">
        <v>96</v>
      </c>
      <c r="E213" s="12" t="s">
        <v>572</v>
      </c>
    </row>
    <row r="214" ht="15.75" customHeight="1">
      <c r="A214" s="4" t="s">
        <v>583</v>
      </c>
      <c r="B214" s="4">
        <v>260.0</v>
      </c>
      <c r="C214" s="4">
        <v>49.0</v>
      </c>
      <c r="D214" s="4" t="s">
        <v>79</v>
      </c>
      <c r="E214" s="12" t="s">
        <v>585</v>
      </c>
    </row>
    <row r="215" ht="15.75" customHeight="1">
      <c r="A215" s="4" t="s">
        <v>586</v>
      </c>
      <c r="B215" s="4">
        <v>30.0</v>
      </c>
      <c r="C215" s="4">
        <v>49.0</v>
      </c>
      <c r="D215" s="4" t="s">
        <v>52</v>
      </c>
      <c r="E215" s="12" t="s">
        <v>585</v>
      </c>
    </row>
    <row r="216" ht="15.75" customHeight="1">
      <c r="A216" s="4" t="s">
        <v>588</v>
      </c>
      <c r="B216" s="4">
        <v>590.0</v>
      </c>
      <c r="C216" s="4">
        <v>51.0</v>
      </c>
      <c r="D216" s="4" t="s">
        <v>80</v>
      </c>
      <c r="E216" s="12" t="s">
        <v>589</v>
      </c>
    </row>
    <row r="217" ht="15.75" customHeight="1">
      <c r="A217" s="4" t="s">
        <v>590</v>
      </c>
      <c r="B217" s="4">
        <v>720.0</v>
      </c>
      <c r="C217" s="4">
        <v>52.0</v>
      </c>
      <c r="D217" s="4" t="s">
        <v>80</v>
      </c>
      <c r="E217" s="12" t="s">
        <v>592</v>
      </c>
    </row>
    <row r="218" ht="15.75" customHeight="1">
      <c r="A218" s="4" t="s">
        <v>593</v>
      </c>
      <c r="B218" s="4">
        <v>590.0</v>
      </c>
      <c r="C218" s="4">
        <v>52.0</v>
      </c>
      <c r="D218" s="4" t="s">
        <v>80</v>
      </c>
      <c r="E218" s="12" t="s">
        <v>592</v>
      </c>
    </row>
    <row r="219" ht="15.75" customHeight="1">
      <c r="A219" s="4" t="s">
        <v>595</v>
      </c>
      <c r="B219" s="4">
        <v>210.0</v>
      </c>
      <c r="C219" s="4">
        <v>52.0</v>
      </c>
      <c r="D219" s="4" t="s">
        <v>104</v>
      </c>
      <c r="E219" s="12" t="s">
        <v>592</v>
      </c>
    </row>
    <row r="220" ht="15.75" customHeight="1">
      <c r="A220" s="4" t="s">
        <v>597</v>
      </c>
      <c r="B220" s="4">
        <v>40.0</v>
      </c>
      <c r="C220" s="4">
        <v>52.0</v>
      </c>
      <c r="D220" s="4" t="s">
        <v>80</v>
      </c>
      <c r="E220" s="12" t="s">
        <v>592</v>
      </c>
    </row>
    <row r="221" ht="15.75" customHeight="1">
      <c r="A221" s="4" t="s">
        <v>598</v>
      </c>
      <c r="B221" s="4">
        <v>880.0</v>
      </c>
      <c r="C221" s="4">
        <v>55.0</v>
      </c>
      <c r="D221" s="4" t="s">
        <v>79</v>
      </c>
      <c r="E221" s="12" t="s">
        <v>600</v>
      </c>
    </row>
    <row r="222" ht="15.75" customHeight="1">
      <c r="A222" s="4" t="s">
        <v>601</v>
      </c>
      <c r="B222" s="4">
        <v>590.0</v>
      </c>
      <c r="C222" s="4">
        <v>56.0</v>
      </c>
      <c r="D222" s="4" t="s">
        <v>52</v>
      </c>
      <c r="E222" s="12" t="s">
        <v>603</v>
      </c>
    </row>
    <row r="223" ht="15.75" customHeight="1">
      <c r="A223" s="4" t="s">
        <v>604</v>
      </c>
      <c r="B223" s="4">
        <v>140.0</v>
      </c>
      <c r="C223" s="4">
        <v>56.0</v>
      </c>
      <c r="D223" s="4" t="s">
        <v>80</v>
      </c>
      <c r="E223" s="12" t="s">
        <v>603</v>
      </c>
    </row>
    <row r="224" ht="15.75" customHeight="1">
      <c r="A224" s="4" t="s">
        <v>605</v>
      </c>
      <c r="B224" s="4">
        <v>110.0</v>
      </c>
      <c r="C224" s="4">
        <v>56.0</v>
      </c>
      <c r="D224" s="4" t="s">
        <v>80</v>
      </c>
      <c r="E224" s="12" t="s">
        <v>603</v>
      </c>
    </row>
    <row r="225" ht="15.75" customHeight="1">
      <c r="A225" s="4" t="s">
        <v>607</v>
      </c>
      <c r="B225" s="4">
        <v>90.0</v>
      </c>
      <c r="C225" s="4">
        <v>56.0</v>
      </c>
      <c r="D225" s="4" t="s">
        <v>52</v>
      </c>
      <c r="E225" s="12" t="s">
        <v>603</v>
      </c>
    </row>
    <row r="226" ht="15.75" customHeight="1">
      <c r="A226" s="4" t="s">
        <v>609</v>
      </c>
      <c r="B226" s="4">
        <v>1000.0</v>
      </c>
      <c r="C226" s="4">
        <v>57.0</v>
      </c>
      <c r="D226" s="4" t="s">
        <v>52</v>
      </c>
      <c r="E226" s="12" t="s">
        <v>610</v>
      </c>
    </row>
    <row r="227" ht="15.75" customHeight="1">
      <c r="A227" s="4" t="s">
        <v>611</v>
      </c>
      <c r="B227" s="4">
        <v>170.0</v>
      </c>
      <c r="C227" s="4">
        <v>57.0</v>
      </c>
      <c r="D227" s="4" t="s">
        <v>79</v>
      </c>
      <c r="E227" s="12" t="s">
        <v>610</v>
      </c>
    </row>
    <row r="228" ht="15.75" customHeight="1">
      <c r="A228" s="4" t="s">
        <v>613</v>
      </c>
      <c r="B228" s="4">
        <v>260.0</v>
      </c>
      <c r="C228" s="4">
        <v>59.0</v>
      </c>
      <c r="D228" s="4" t="s">
        <v>52</v>
      </c>
      <c r="E228" s="12" t="s">
        <v>614</v>
      </c>
    </row>
    <row r="229" ht="15.75" customHeight="1">
      <c r="A229" s="4" t="s">
        <v>616</v>
      </c>
      <c r="B229" s="4">
        <v>2400.0</v>
      </c>
      <c r="C229" s="4">
        <v>60.0</v>
      </c>
      <c r="D229" s="4" t="s">
        <v>52</v>
      </c>
      <c r="E229" s="12" t="s">
        <v>617</v>
      </c>
    </row>
    <row r="230" ht="15.75" customHeight="1">
      <c r="A230" s="4" t="s">
        <v>618</v>
      </c>
      <c r="B230" s="4">
        <v>320.0</v>
      </c>
      <c r="C230" s="4">
        <v>60.0</v>
      </c>
      <c r="D230" s="4" t="s">
        <v>52</v>
      </c>
      <c r="E230" s="12" t="s">
        <v>617</v>
      </c>
    </row>
    <row r="231" ht="15.75" customHeight="1">
      <c r="A231" s="4" t="s">
        <v>619</v>
      </c>
      <c r="B231" s="4">
        <v>1000.0</v>
      </c>
      <c r="C231" s="4">
        <v>61.0</v>
      </c>
      <c r="D231" s="4" t="s">
        <v>52</v>
      </c>
      <c r="E231" s="12" t="s">
        <v>621</v>
      </c>
    </row>
    <row r="232" ht="15.75" customHeight="1">
      <c r="A232" s="4" t="s">
        <v>622</v>
      </c>
      <c r="B232" s="4">
        <v>720.0</v>
      </c>
      <c r="C232" s="4">
        <v>62.0</v>
      </c>
      <c r="D232" s="4" t="s">
        <v>52</v>
      </c>
      <c r="E232" s="12" t="s">
        <v>623</v>
      </c>
    </row>
    <row r="233" ht="15.75" customHeight="1">
      <c r="A233" s="4" t="s">
        <v>625</v>
      </c>
      <c r="B233" s="4">
        <v>90.0</v>
      </c>
      <c r="C233" s="4">
        <v>63.0</v>
      </c>
      <c r="D233" s="4" t="s">
        <v>52</v>
      </c>
      <c r="E233" s="12" t="s">
        <v>626</v>
      </c>
    </row>
    <row r="234" ht="15.75" customHeight="1">
      <c r="A234" s="4" t="s">
        <v>627</v>
      </c>
      <c r="B234" s="4">
        <v>50.0</v>
      </c>
      <c r="C234" s="4">
        <v>64.0</v>
      </c>
      <c r="D234" s="4" t="s">
        <v>52</v>
      </c>
      <c r="E234" s="12" t="s">
        <v>629</v>
      </c>
    </row>
    <row r="235" ht="15.75" customHeight="1">
      <c r="A235" s="4" t="s">
        <v>630</v>
      </c>
      <c r="B235" s="4">
        <v>70.0</v>
      </c>
      <c r="C235" s="4">
        <v>65.0</v>
      </c>
      <c r="D235" s="4" t="s">
        <v>52</v>
      </c>
      <c r="E235" s="12" t="s">
        <v>632</v>
      </c>
    </row>
    <row r="236" ht="15.75" customHeight="1">
      <c r="A236" s="4" t="s">
        <v>633</v>
      </c>
      <c r="B236" s="4">
        <v>70.0</v>
      </c>
      <c r="C236" s="4">
        <v>66.0</v>
      </c>
      <c r="D236" s="4" t="s">
        <v>52</v>
      </c>
      <c r="E236" s="12" t="s">
        <v>635</v>
      </c>
    </row>
    <row r="237" ht="15.75" customHeight="1">
      <c r="A237" s="4" t="s">
        <v>636</v>
      </c>
      <c r="B237" s="4">
        <v>50.0</v>
      </c>
      <c r="C237" s="4">
        <v>66.0</v>
      </c>
      <c r="D237" s="4" t="s">
        <v>104</v>
      </c>
      <c r="E237" s="12" t="s">
        <v>635</v>
      </c>
    </row>
    <row r="238" ht="15.75" customHeight="1">
      <c r="A238" s="4" t="s">
        <v>638</v>
      </c>
      <c r="B238" s="4">
        <v>30.0</v>
      </c>
      <c r="C238" s="4">
        <v>66.0</v>
      </c>
      <c r="D238" s="4" t="s">
        <v>52</v>
      </c>
      <c r="E238" s="12" t="s">
        <v>635</v>
      </c>
    </row>
    <row r="239" ht="15.75" customHeight="1">
      <c r="A239" s="4" t="s">
        <v>639</v>
      </c>
      <c r="B239" s="4">
        <v>720.0</v>
      </c>
      <c r="C239" s="4">
        <v>67.0</v>
      </c>
      <c r="D239" s="4" t="s">
        <v>52</v>
      </c>
      <c r="E239" s="12" t="s">
        <v>641</v>
      </c>
    </row>
    <row r="240" ht="15.75" customHeight="1">
      <c r="A240" s="4" t="s">
        <v>642</v>
      </c>
      <c r="B240" s="4">
        <v>110.0</v>
      </c>
      <c r="C240" s="4">
        <v>69.0</v>
      </c>
      <c r="D240" s="4" t="s">
        <v>52</v>
      </c>
      <c r="E240" s="12" t="s">
        <v>643</v>
      </c>
    </row>
    <row r="241" ht="15.75" customHeight="1">
      <c r="A241" s="4" t="s">
        <v>645</v>
      </c>
      <c r="B241" s="4">
        <v>70.0</v>
      </c>
      <c r="C241" s="4">
        <v>69.0</v>
      </c>
      <c r="D241" s="4" t="s">
        <v>52</v>
      </c>
      <c r="E241" s="12" t="s">
        <v>643</v>
      </c>
    </row>
    <row r="242" ht="15.75" customHeight="1">
      <c r="A242" s="4" t="s">
        <v>646</v>
      </c>
      <c r="B242" s="4">
        <v>170.0</v>
      </c>
      <c r="C242" s="4">
        <v>70.0</v>
      </c>
      <c r="D242" s="4" t="s">
        <v>52</v>
      </c>
      <c r="E242" s="12" t="s">
        <v>648</v>
      </c>
    </row>
    <row r="243" ht="15.75" customHeight="1">
      <c r="A243" s="4" t="s">
        <v>649</v>
      </c>
      <c r="B243" s="4">
        <v>260.0</v>
      </c>
      <c r="C243" s="4">
        <v>73.0</v>
      </c>
      <c r="D243" s="4" t="s">
        <v>104</v>
      </c>
      <c r="E243" s="12" t="s">
        <v>650</v>
      </c>
    </row>
    <row r="244" ht="15.75" customHeight="1">
      <c r="A244" s="4" t="s">
        <v>652</v>
      </c>
      <c r="B244" s="4">
        <v>1600.0</v>
      </c>
      <c r="C244" s="4">
        <v>75.0</v>
      </c>
      <c r="D244" s="4" t="s">
        <v>52</v>
      </c>
      <c r="E244" s="12" t="s">
        <v>653</v>
      </c>
    </row>
    <row r="245" ht="15.75" customHeight="1">
      <c r="A245" s="4" t="s">
        <v>654</v>
      </c>
      <c r="B245" s="4">
        <v>590.0</v>
      </c>
      <c r="C245" s="4">
        <v>34.0</v>
      </c>
      <c r="D245" s="4" t="s">
        <v>52</v>
      </c>
      <c r="E245" s="12" t="s">
        <v>656</v>
      </c>
    </row>
    <row r="246" ht="15.75" customHeight="1">
      <c r="A246" s="4" t="s">
        <v>657</v>
      </c>
      <c r="B246" s="4">
        <v>170.0</v>
      </c>
      <c r="C246" s="4">
        <v>37.0</v>
      </c>
      <c r="D246" s="4" t="s">
        <v>52</v>
      </c>
      <c r="E246" s="12" t="s">
        <v>656</v>
      </c>
    </row>
    <row r="247" ht="15.75" customHeight="1">
      <c r="A247" s="4" t="s">
        <v>659</v>
      </c>
      <c r="B247" s="4">
        <v>70.0</v>
      </c>
      <c r="C247" s="4">
        <v>37.0</v>
      </c>
      <c r="D247" s="4" t="s">
        <v>52</v>
      </c>
      <c r="E247" s="12" t="s">
        <v>656</v>
      </c>
    </row>
    <row r="248" ht="15.75" customHeight="1">
      <c r="A248" s="4" t="s">
        <v>660</v>
      </c>
      <c r="B248" s="4">
        <v>40.0</v>
      </c>
      <c r="C248" s="4">
        <v>40.0</v>
      </c>
      <c r="D248" s="4" t="s">
        <v>52</v>
      </c>
      <c r="E248" s="12" t="s">
        <v>656</v>
      </c>
    </row>
    <row r="249" ht="15.75" customHeight="1">
      <c r="A249" s="4" t="s">
        <v>662</v>
      </c>
      <c r="B249" s="4">
        <v>30.0</v>
      </c>
      <c r="C249" s="4">
        <v>0.0</v>
      </c>
      <c r="D249" s="4" t="s">
        <v>52</v>
      </c>
      <c r="E249" s="12" t="s">
        <v>656</v>
      </c>
    </row>
    <row r="250" ht="15.75" customHeight="1">
      <c r="A250" s="4" t="s">
        <v>663</v>
      </c>
      <c r="B250" s="4">
        <v>30.0</v>
      </c>
      <c r="C250" s="4">
        <v>42.0</v>
      </c>
      <c r="D250" s="4" t="s">
        <v>52</v>
      </c>
      <c r="E250" s="12" t="s">
        <v>656</v>
      </c>
    </row>
    <row r="251" ht="15.75" customHeight="1">
      <c r="A251" s="4" t="s">
        <v>665</v>
      </c>
      <c r="B251" s="4">
        <v>0.0</v>
      </c>
      <c r="C251" s="4">
        <v>0.0</v>
      </c>
      <c r="D251" s="4" t="s">
        <v>225</v>
      </c>
      <c r="E251" s="12" t="s">
        <v>656</v>
      </c>
    </row>
    <row r="252" ht="15.75" customHeight="1">
      <c r="A252" s="4" t="s">
        <v>666</v>
      </c>
      <c r="B252" s="4">
        <v>40500.0</v>
      </c>
      <c r="C252" s="4">
        <v>52.0</v>
      </c>
      <c r="D252" s="4" t="s">
        <v>52</v>
      </c>
      <c r="E252" s="12" t="s">
        <v>668</v>
      </c>
    </row>
    <row r="253" ht="15.75" customHeight="1">
      <c r="A253" s="4" t="s">
        <v>669</v>
      </c>
      <c r="B253" s="4">
        <v>33100.0</v>
      </c>
      <c r="C253" s="4">
        <v>66.0</v>
      </c>
      <c r="D253" s="4" t="s">
        <v>52</v>
      </c>
      <c r="E253" s="12" t="s">
        <v>668</v>
      </c>
    </row>
    <row r="254" ht="15.75" customHeight="1">
      <c r="A254" s="4" t="s">
        <v>671</v>
      </c>
      <c r="B254" s="4">
        <v>18100.0</v>
      </c>
      <c r="C254" s="4">
        <v>28.0</v>
      </c>
      <c r="D254" s="4" t="s">
        <v>80</v>
      </c>
      <c r="E254" s="12" t="s">
        <v>668</v>
      </c>
    </row>
    <row r="255" ht="15.75" customHeight="1">
      <c r="A255" s="4" t="s">
        <v>672</v>
      </c>
      <c r="B255" s="4">
        <v>18100.0</v>
      </c>
      <c r="C255" s="4">
        <v>50.0</v>
      </c>
      <c r="D255" s="4" t="s">
        <v>80</v>
      </c>
      <c r="E255" s="12" t="s">
        <v>668</v>
      </c>
    </row>
    <row r="256" ht="15.75" customHeight="1">
      <c r="A256" s="4" t="s">
        <v>674</v>
      </c>
      <c r="B256" s="4">
        <v>18100.0</v>
      </c>
      <c r="C256" s="4">
        <v>54.0</v>
      </c>
      <c r="D256" s="4" t="s">
        <v>80</v>
      </c>
      <c r="E256" s="12" t="s">
        <v>668</v>
      </c>
    </row>
    <row r="257" ht="15.75" customHeight="1">
      <c r="A257" s="4" t="s">
        <v>676</v>
      </c>
      <c r="B257" s="4">
        <v>18100.0</v>
      </c>
      <c r="C257" s="4">
        <v>54.0</v>
      </c>
      <c r="D257" s="4" t="s">
        <v>104</v>
      </c>
      <c r="E257" s="12" t="s">
        <v>668</v>
      </c>
    </row>
    <row r="258" ht="15.75" customHeight="1">
      <c r="A258" s="4" t="s">
        <v>677</v>
      </c>
      <c r="B258" s="4">
        <v>14800.0</v>
      </c>
      <c r="C258" s="4">
        <v>42.0</v>
      </c>
      <c r="D258" s="4" t="s">
        <v>80</v>
      </c>
      <c r="E258" s="12" t="s">
        <v>668</v>
      </c>
    </row>
    <row r="259" ht="15.75" customHeight="1">
      <c r="A259" s="4" t="s">
        <v>678</v>
      </c>
      <c r="B259" s="4">
        <v>14800.0</v>
      </c>
      <c r="C259" s="4">
        <v>49.0</v>
      </c>
      <c r="D259" s="4" t="s">
        <v>80</v>
      </c>
      <c r="E259" s="12" t="s">
        <v>668</v>
      </c>
    </row>
    <row r="260" ht="15.75" customHeight="1">
      <c r="A260" s="4" t="s">
        <v>680</v>
      </c>
      <c r="B260" s="4">
        <v>2400.0</v>
      </c>
      <c r="C260" s="4">
        <v>37.0</v>
      </c>
      <c r="D260" s="4" t="s">
        <v>80</v>
      </c>
      <c r="E260" s="12" t="s">
        <v>668</v>
      </c>
    </row>
    <row r="261" ht="15.75" customHeight="1">
      <c r="A261" s="4" t="s">
        <v>681</v>
      </c>
      <c r="B261" s="4">
        <v>1600.0</v>
      </c>
      <c r="C261" s="4">
        <v>28.0</v>
      </c>
      <c r="D261" s="4" t="s">
        <v>96</v>
      </c>
      <c r="E261" s="12" t="s">
        <v>668</v>
      </c>
    </row>
    <row r="262" ht="15.75" customHeight="1">
      <c r="A262" s="4" t="s">
        <v>683</v>
      </c>
      <c r="B262" s="4">
        <v>1300.0</v>
      </c>
      <c r="C262" s="4">
        <v>41.0</v>
      </c>
      <c r="D262" s="4" t="s">
        <v>80</v>
      </c>
      <c r="E262" s="12" t="s">
        <v>668</v>
      </c>
    </row>
    <row r="263" ht="15.75" customHeight="1">
      <c r="A263" s="4" t="s">
        <v>684</v>
      </c>
      <c r="B263" s="4">
        <v>880.0</v>
      </c>
      <c r="C263" s="4">
        <v>30.0</v>
      </c>
      <c r="D263" s="4" t="s">
        <v>96</v>
      </c>
      <c r="E263" s="12" t="s">
        <v>668</v>
      </c>
    </row>
    <row r="264" ht="15.75" customHeight="1">
      <c r="A264" s="4" t="s">
        <v>686</v>
      </c>
      <c r="B264" s="4">
        <v>720.0</v>
      </c>
      <c r="C264" s="4">
        <v>13.0</v>
      </c>
      <c r="D264" s="4" t="s">
        <v>52</v>
      </c>
      <c r="E264" s="12" t="s">
        <v>668</v>
      </c>
    </row>
    <row r="265" ht="15.75" customHeight="1">
      <c r="A265" s="4" t="s">
        <v>688</v>
      </c>
      <c r="B265" s="4">
        <v>720.0</v>
      </c>
      <c r="C265" s="4">
        <v>25.0</v>
      </c>
      <c r="D265" s="4" t="s">
        <v>52</v>
      </c>
      <c r="E265" s="12" t="s">
        <v>668</v>
      </c>
    </row>
    <row r="266" ht="15.75" customHeight="1">
      <c r="A266" s="4" t="s">
        <v>689</v>
      </c>
      <c r="B266" s="4">
        <v>480.0</v>
      </c>
      <c r="C266" s="4">
        <v>14.0</v>
      </c>
      <c r="D266" s="4" t="s">
        <v>52</v>
      </c>
      <c r="E266" s="12" t="s">
        <v>668</v>
      </c>
    </row>
    <row r="267" ht="15.75" customHeight="1">
      <c r="A267" s="4" t="s">
        <v>691</v>
      </c>
      <c r="B267" s="4">
        <v>390.0</v>
      </c>
      <c r="C267" s="4">
        <v>33.0</v>
      </c>
      <c r="D267" s="4" t="s">
        <v>80</v>
      </c>
      <c r="E267" s="12" t="s">
        <v>668</v>
      </c>
    </row>
    <row r="268" ht="15.75" customHeight="1">
      <c r="A268" s="4" t="s">
        <v>692</v>
      </c>
      <c r="B268" s="4">
        <v>320.0</v>
      </c>
      <c r="C268" s="4">
        <v>17.0</v>
      </c>
      <c r="D268" s="4" t="s">
        <v>52</v>
      </c>
      <c r="E268" s="12" t="s">
        <v>668</v>
      </c>
    </row>
    <row r="269" ht="15.75" customHeight="1">
      <c r="A269" s="4" t="s">
        <v>694</v>
      </c>
      <c r="B269" s="4">
        <v>320.0</v>
      </c>
      <c r="C269" s="4">
        <v>32.0</v>
      </c>
      <c r="D269" s="4" t="s">
        <v>80</v>
      </c>
      <c r="E269" s="12" t="s">
        <v>668</v>
      </c>
    </row>
    <row r="270" ht="15.75" customHeight="1">
      <c r="A270" s="4" t="s">
        <v>695</v>
      </c>
      <c r="B270" s="4">
        <v>260.0</v>
      </c>
      <c r="C270" s="4">
        <v>34.0</v>
      </c>
      <c r="D270" s="4" t="s">
        <v>80</v>
      </c>
      <c r="E270" s="12" t="s">
        <v>668</v>
      </c>
    </row>
    <row r="271" ht="15.75" customHeight="1">
      <c r="A271" s="4" t="s">
        <v>697</v>
      </c>
      <c r="B271" s="4">
        <v>260.0</v>
      </c>
      <c r="C271" s="4">
        <v>27.0</v>
      </c>
      <c r="D271" s="4" t="s">
        <v>80</v>
      </c>
      <c r="E271" s="12" t="s">
        <v>668</v>
      </c>
    </row>
    <row r="272" ht="15.75" customHeight="1">
      <c r="A272" s="4" t="s">
        <v>698</v>
      </c>
      <c r="B272" s="4">
        <v>210.0</v>
      </c>
      <c r="C272" s="4">
        <v>15.0</v>
      </c>
      <c r="D272" s="4" t="s">
        <v>52</v>
      </c>
      <c r="E272" s="12" t="s">
        <v>668</v>
      </c>
    </row>
    <row r="273" ht="15.75" customHeight="1">
      <c r="A273" s="4" t="s">
        <v>700</v>
      </c>
      <c r="B273" s="4">
        <v>210.0</v>
      </c>
      <c r="C273" s="4">
        <v>29.0</v>
      </c>
      <c r="D273" s="4" t="s">
        <v>96</v>
      </c>
      <c r="E273" s="12" t="s">
        <v>668</v>
      </c>
    </row>
    <row r="274" ht="15.75" customHeight="1">
      <c r="A274" s="4" t="s">
        <v>701</v>
      </c>
      <c r="B274" s="4">
        <v>170.0</v>
      </c>
      <c r="C274" s="4">
        <v>12.0</v>
      </c>
      <c r="D274" s="4" t="s">
        <v>52</v>
      </c>
      <c r="E274" s="12" t="s">
        <v>668</v>
      </c>
    </row>
    <row r="275" ht="15.75" customHeight="1">
      <c r="A275" s="4" t="s">
        <v>703</v>
      </c>
      <c r="B275" s="4">
        <v>170.0</v>
      </c>
      <c r="C275" s="4">
        <v>32.0</v>
      </c>
      <c r="D275" s="4" t="s">
        <v>80</v>
      </c>
      <c r="E275" s="12" t="s">
        <v>668</v>
      </c>
    </row>
    <row r="276" ht="15.75" customHeight="1">
      <c r="A276" s="4" t="s">
        <v>705</v>
      </c>
      <c r="B276" s="4">
        <v>170.0</v>
      </c>
      <c r="C276" s="4">
        <v>33.0</v>
      </c>
      <c r="D276" s="4" t="s">
        <v>80</v>
      </c>
      <c r="E276" s="12" t="s">
        <v>668</v>
      </c>
    </row>
    <row r="277" ht="15.75" customHeight="1">
      <c r="A277" s="4" t="s">
        <v>706</v>
      </c>
      <c r="B277" s="4">
        <v>140.0</v>
      </c>
      <c r="C277" s="4">
        <v>31.0</v>
      </c>
      <c r="D277" s="4" t="s">
        <v>96</v>
      </c>
      <c r="E277" s="12" t="s">
        <v>668</v>
      </c>
    </row>
    <row r="278" ht="15.75" customHeight="1">
      <c r="A278" s="4" t="s">
        <v>708</v>
      </c>
      <c r="B278" s="4">
        <v>110.0</v>
      </c>
      <c r="C278" s="4">
        <v>13.0</v>
      </c>
      <c r="D278" s="4" t="s">
        <v>52</v>
      </c>
      <c r="E278" s="12" t="s">
        <v>668</v>
      </c>
    </row>
    <row r="279" ht="15.75" customHeight="1">
      <c r="A279" s="4" t="s">
        <v>710</v>
      </c>
      <c r="B279" s="4">
        <v>110.0</v>
      </c>
      <c r="C279" s="4">
        <v>30.0</v>
      </c>
      <c r="D279" s="4" t="s">
        <v>80</v>
      </c>
      <c r="E279" s="12" t="s">
        <v>668</v>
      </c>
    </row>
    <row r="280" ht="15.75" customHeight="1">
      <c r="A280" s="4" t="s">
        <v>711</v>
      </c>
      <c r="B280" s="4">
        <v>90.0</v>
      </c>
      <c r="C280" s="4">
        <v>30.0</v>
      </c>
      <c r="D280" s="4" t="s">
        <v>80</v>
      </c>
      <c r="E280" s="12" t="s">
        <v>668</v>
      </c>
    </row>
    <row r="281" ht="15.75" customHeight="1">
      <c r="A281" s="4" t="s">
        <v>713</v>
      </c>
      <c r="B281" s="4">
        <v>90.0</v>
      </c>
      <c r="C281" s="4">
        <v>15.0</v>
      </c>
      <c r="D281" s="4" t="s">
        <v>52</v>
      </c>
      <c r="E281" s="12" t="s">
        <v>668</v>
      </c>
    </row>
    <row r="282" ht="15.75" customHeight="1">
      <c r="A282" s="4" t="s">
        <v>715</v>
      </c>
      <c r="B282" s="4">
        <v>70.0</v>
      </c>
      <c r="C282" s="4">
        <v>32.0</v>
      </c>
      <c r="D282" s="4" t="s">
        <v>80</v>
      </c>
      <c r="E282" s="12" t="s">
        <v>668</v>
      </c>
    </row>
    <row r="283" ht="15.75" customHeight="1">
      <c r="A283" s="4" t="s">
        <v>716</v>
      </c>
      <c r="B283" s="4">
        <v>70.0</v>
      </c>
      <c r="C283" s="4">
        <v>15.0</v>
      </c>
      <c r="D283" s="4" t="s">
        <v>52</v>
      </c>
      <c r="E283" s="12" t="s">
        <v>668</v>
      </c>
    </row>
    <row r="284" ht="15.75" customHeight="1">
      <c r="A284" s="4" t="s">
        <v>718</v>
      </c>
      <c r="B284" s="4">
        <v>50.0</v>
      </c>
      <c r="C284" s="4">
        <v>0.0</v>
      </c>
      <c r="D284" s="4" t="s">
        <v>52</v>
      </c>
      <c r="E284" s="12" t="s">
        <v>668</v>
      </c>
    </row>
    <row r="285" ht="15.75" customHeight="1">
      <c r="A285" s="4" t="s">
        <v>720</v>
      </c>
      <c r="B285" s="4">
        <v>50.0</v>
      </c>
      <c r="C285" s="4">
        <v>8.0</v>
      </c>
      <c r="D285" s="4" t="s">
        <v>52</v>
      </c>
      <c r="E285" s="12" t="s">
        <v>668</v>
      </c>
    </row>
    <row r="286" ht="15.75" customHeight="1">
      <c r="A286" s="4" t="s">
        <v>721</v>
      </c>
      <c r="B286" s="4">
        <v>40.0</v>
      </c>
      <c r="C286" s="4">
        <v>31.0</v>
      </c>
      <c r="D286" s="4" t="s">
        <v>80</v>
      </c>
      <c r="E286" s="12" t="s">
        <v>668</v>
      </c>
    </row>
    <row r="287" ht="15.75" customHeight="1">
      <c r="A287" s="4" t="s">
        <v>723</v>
      </c>
      <c r="B287" s="4">
        <v>40.0</v>
      </c>
      <c r="C287" s="4">
        <v>17.0</v>
      </c>
      <c r="D287" s="4" t="s">
        <v>52</v>
      </c>
      <c r="E287" s="12" t="s">
        <v>668</v>
      </c>
    </row>
    <row r="288" ht="15.75" customHeight="1">
      <c r="A288" s="4" t="s">
        <v>724</v>
      </c>
      <c r="B288" s="4">
        <v>40.0</v>
      </c>
      <c r="C288" s="4">
        <v>17.0</v>
      </c>
      <c r="D288" s="4" t="s">
        <v>80</v>
      </c>
      <c r="E288" s="12" t="s">
        <v>668</v>
      </c>
    </row>
    <row r="289" ht="15.75" customHeight="1">
      <c r="A289" s="4" t="s">
        <v>726</v>
      </c>
      <c r="B289" s="4">
        <v>40.0</v>
      </c>
      <c r="C289" s="4">
        <v>17.0</v>
      </c>
      <c r="D289" s="4" t="s">
        <v>96</v>
      </c>
      <c r="E289" s="12" t="s">
        <v>668</v>
      </c>
    </row>
    <row r="290" ht="15.75" customHeight="1">
      <c r="A290" s="4" t="s">
        <v>727</v>
      </c>
      <c r="B290" s="4">
        <v>40.0</v>
      </c>
      <c r="C290" s="4">
        <v>33.0</v>
      </c>
      <c r="D290" s="4" t="s">
        <v>96</v>
      </c>
      <c r="E290" s="12" t="s">
        <v>668</v>
      </c>
    </row>
    <row r="291" ht="15.75" customHeight="1">
      <c r="A291" s="4" t="s">
        <v>729</v>
      </c>
      <c r="B291" s="4">
        <v>30.0</v>
      </c>
      <c r="C291" s="4">
        <v>25.0</v>
      </c>
      <c r="D291" s="4" t="s">
        <v>96</v>
      </c>
      <c r="E291" s="12" t="s">
        <v>668</v>
      </c>
    </row>
    <row r="292" ht="15.75" customHeight="1">
      <c r="A292" s="4" t="s">
        <v>731</v>
      </c>
      <c r="B292" s="4">
        <v>0.0</v>
      </c>
      <c r="C292" s="4">
        <v>0.0</v>
      </c>
      <c r="D292" s="4" t="s">
        <v>225</v>
      </c>
      <c r="E292" s="12" t="s">
        <v>668</v>
      </c>
    </row>
    <row r="293" ht="15.75" customHeight="1">
      <c r="A293" s="4" t="s">
        <v>732</v>
      </c>
      <c r="B293" s="4">
        <v>1300.0</v>
      </c>
      <c r="C293" s="4">
        <v>42.0</v>
      </c>
      <c r="D293" s="4" t="s">
        <v>104</v>
      </c>
      <c r="E293" s="12" t="s">
        <v>733</v>
      </c>
    </row>
    <row r="294" ht="15.75" customHeight="1">
      <c r="A294" s="4" t="s">
        <v>735</v>
      </c>
      <c r="B294" s="4">
        <v>1000.0</v>
      </c>
      <c r="C294" s="4">
        <v>38.0</v>
      </c>
      <c r="D294" s="4" t="s">
        <v>104</v>
      </c>
      <c r="E294" s="12" t="s">
        <v>733</v>
      </c>
    </row>
    <row r="295" ht="15.75" customHeight="1">
      <c r="A295" s="4" t="s">
        <v>736</v>
      </c>
      <c r="B295" s="4">
        <v>880.0</v>
      </c>
      <c r="C295" s="4">
        <v>65.0</v>
      </c>
      <c r="D295" s="4" t="s">
        <v>104</v>
      </c>
      <c r="E295" s="12" t="s">
        <v>733</v>
      </c>
    </row>
    <row r="296" ht="15.75" customHeight="1">
      <c r="A296" s="4" t="s">
        <v>738</v>
      </c>
      <c r="B296" s="4">
        <v>880.0</v>
      </c>
      <c r="C296" s="4">
        <v>63.0</v>
      </c>
      <c r="D296" s="4" t="s">
        <v>104</v>
      </c>
      <c r="E296" s="12" t="s">
        <v>733</v>
      </c>
    </row>
    <row r="297" ht="15.75" customHeight="1">
      <c r="A297" s="4" t="s">
        <v>739</v>
      </c>
      <c r="B297" s="4">
        <v>480.0</v>
      </c>
      <c r="C297" s="4">
        <v>36.0</v>
      </c>
      <c r="D297" s="4" t="s">
        <v>104</v>
      </c>
      <c r="E297" s="12" t="s">
        <v>733</v>
      </c>
    </row>
    <row r="298" ht="15.75" customHeight="1">
      <c r="A298" s="4" t="s">
        <v>741</v>
      </c>
      <c r="B298" s="4">
        <v>480.0</v>
      </c>
      <c r="C298" s="4">
        <v>60.0</v>
      </c>
      <c r="D298" s="4" t="s">
        <v>104</v>
      </c>
      <c r="E298" s="12" t="s">
        <v>733</v>
      </c>
    </row>
    <row r="299" ht="15.75" customHeight="1">
      <c r="A299" s="4" t="s">
        <v>742</v>
      </c>
      <c r="B299" s="4">
        <v>320.0</v>
      </c>
      <c r="C299" s="4">
        <v>64.0</v>
      </c>
      <c r="D299" s="4" t="s">
        <v>104</v>
      </c>
      <c r="E299" s="12" t="s">
        <v>733</v>
      </c>
    </row>
    <row r="300" ht="15.75" customHeight="1">
      <c r="A300" s="4" t="s">
        <v>744</v>
      </c>
      <c r="B300" s="4">
        <v>210.0</v>
      </c>
      <c r="C300" s="4">
        <v>56.0</v>
      </c>
      <c r="D300" s="4" t="s">
        <v>104</v>
      </c>
      <c r="E300" s="12" t="s">
        <v>733</v>
      </c>
    </row>
    <row r="301" ht="15.75" customHeight="1">
      <c r="A301" s="4" t="s">
        <v>745</v>
      </c>
      <c r="B301" s="4">
        <v>210.0</v>
      </c>
      <c r="C301" s="4">
        <v>32.0</v>
      </c>
      <c r="D301" s="4" t="s">
        <v>52</v>
      </c>
      <c r="E301" s="12" t="s">
        <v>733</v>
      </c>
    </row>
    <row r="302" ht="15.75" customHeight="1">
      <c r="A302" s="4" t="s">
        <v>747</v>
      </c>
      <c r="B302" s="4">
        <v>170.0</v>
      </c>
      <c r="C302" s="4">
        <v>37.0</v>
      </c>
      <c r="D302" s="4" t="s">
        <v>104</v>
      </c>
      <c r="E302" s="12" t="s">
        <v>733</v>
      </c>
    </row>
    <row r="303" ht="15.75" customHeight="1">
      <c r="A303" s="4" t="s">
        <v>748</v>
      </c>
      <c r="B303" s="4">
        <v>110.0</v>
      </c>
      <c r="C303" s="4">
        <v>53.0</v>
      </c>
      <c r="D303" s="4" t="s">
        <v>104</v>
      </c>
      <c r="E303" s="12" t="s">
        <v>733</v>
      </c>
    </row>
    <row r="304" ht="15.75" customHeight="1">
      <c r="A304" s="4" t="s">
        <v>749</v>
      </c>
      <c r="B304" s="4">
        <v>90.0</v>
      </c>
      <c r="C304" s="4">
        <v>48.0</v>
      </c>
      <c r="D304" s="4" t="s">
        <v>104</v>
      </c>
      <c r="E304" s="12" t="s">
        <v>733</v>
      </c>
    </row>
    <row r="305" ht="15.75" customHeight="1">
      <c r="A305" s="4" t="s">
        <v>750</v>
      </c>
      <c r="B305" s="4">
        <v>70.0</v>
      </c>
      <c r="C305" s="4">
        <v>43.0</v>
      </c>
      <c r="D305" s="4" t="s">
        <v>104</v>
      </c>
      <c r="E305" s="12" t="s">
        <v>733</v>
      </c>
    </row>
    <row r="306" ht="15.75" customHeight="1">
      <c r="A306" s="4" t="s">
        <v>752</v>
      </c>
      <c r="B306" s="4">
        <v>50.0</v>
      </c>
      <c r="C306" s="4">
        <v>31.0</v>
      </c>
      <c r="D306" s="4" t="s">
        <v>104</v>
      </c>
      <c r="E306" s="12" t="s">
        <v>733</v>
      </c>
    </row>
    <row r="307" ht="15.75" customHeight="1">
      <c r="A307" s="4" t="s">
        <v>753</v>
      </c>
      <c r="B307" s="4">
        <v>50.0</v>
      </c>
      <c r="C307" s="4">
        <v>48.0</v>
      </c>
      <c r="D307" s="4" t="s">
        <v>52</v>
      </c>
      <c r="E307" s="12" t="s">
        <v>733</v>
      </c>
    </row>
    <row r="308" ht="15.75" customHeight="1">
      <c r="A308" s="4" t="s">
        <v>755</v>
      </c>
      <c r="B308" s="4">
        <v>50.0</v>
      </c>
      <c r="C308" s="4">
        <v>34.0</v>
      </c>
      <c r="D308" s="4" t="s">
        <v>52</v>
      </c>
      <c r="E308" s="12" t="s">
        <v>733</v>
      </c>
    </row>
    <row r="309" ht="15.75" customHeight="1">
      <c r="A309" s="4" t="s">
        <v>757</v>
      </c>
      <c r="B309" s="4">
        <v>50.0</v>
      </c>
      <c r="C309" s="4">
        <v>41.0</v>
      </c>
      <c r="D309" s="4" t="s">
        <v>104</v>
      </c>
      <c r="E309" s="12" t="s">
        <v>733</v>
      </c>
    </row>
    <row r="310" ht="15.75" customHeight="1">
      <c r="A310" s="4" t="s">
        <v>758</v>
      </c>
      <c r="B310" s="4">
        <v>50.0</v>
      </c>
      <c r="C310" s="4">
        <v>28.0</v>
      </c>
      <c r="D310" s="4" t="s">
        <v>104</v>
      </c>
      <c r="E310" s="12" t="s">
        <v>733</v>
      </c>
    </row>
    <row r="311" ht="15.75" customHeight="1">
      <c r="A311" s="4" t="s">
        <v>760</v>
      </c>
      <c r="B311" s="4">
        <v>50.0</v>
      </c>
      <c r="C311" s="4">
        <v>35.0</v>
      </c>
      <c r="D311" s="4" t="s">
        <v>104</v>
      </c>
      <c r="E311" s="12" t="s">
        <v>733</v>
      </c>
    </row>
    <row r="312" ht="15.75" customHeight="1">
      <c r="A312" s="4" t="s">
        <v>762</v>
      </c>
      <c r="B312" s="4">
        <v>40.0</v>
      </c>
      <c r="C312" s="4">
        <v>41.0</v>
      </c>
      <c r="D312" s="4" t="s">
        <v>104</v>
      </c>
      <c r="E312" s="12" t="s">
        <v>733</v>
      </c>
    </row>
    <row r="313" ht="15.75" customHeight="1">
      <c r="A313" s="4" t="s">
        <v>763</v>
      </c>
      <c r="B313" s="4">
        <v>40.0</v>
      </c>
      <c r="C313" s="4">
        <v>39.0</v>
      </c>
      <c r="D313" s="4" t="s">
        <v>104</v>
      </c>
      <c r="E313" s="12" t="s">
        <v>733</v>
      </c>
    </row>
    <row r="314" ht="15.75" customHeight="1">
      <c r="A314" s="4" t="s">
        <v>765</v>
      </c>
      <c r="B314" s="4">
        <v>30.0</v>
      </c>
      <c r="C314" s="4">
        <v>37.0</v>
      </c>
      <c r="D314" s="4" t="s">
        <v>104</v>
      </c>
      <c r="E314" s="12" t="s">
        <v>733</v>
      </c>
    </row>
    <row r="315" ht="15.75" customHeight="1">
      <c r="A315" s="4" t="s">
        <v>766</v>
      </c>
      <c r="B315" s="4">
        <v>30.0</v>
      </c>
      <c r="C315" s="4">
        <v>31.0</v>
      </c>
      <c r="D315" s="4" t="s">
        <v>104</v>
      </c>
      <c r="E315" s="12" t="s">
        <v>733</v>
      </c>
    </row>
    <row r="316" ht="15.75" customHeight="1">
      <c r="A316" s="4" t="s">
        <v>768</v>
      </c>
      <c r="B316" s="4">
        <v>30.0</v>
      </c>
      <c r="C316" s="4">
        <v>54.0</v>
      </c>
      <c r="D316" s="4" t="s">
        <v>104</v>
      </c>
      <c r="E316" s="12" t="s">
        <v>733</v>
      </c>
    </row>
    <row r="317" ht="15.75" customHeight="1">
      <c r="A317" s="4" t="s">
        <v>769</v>
      </c>
      <c r="B317" s="4">
        <v>30.0</v>
      </c>
      <c r="C317" s="4">
        <v>38.0</v>
      </c>
      <c r="D317" s="4" t="s">
        <v>104</v>
      </c>
      <c r="E317" s="12" t="s">
        <v>733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9.0"/>
    <col customWidth="1" min="3" max="3" width="8.0"/>
    <col customWidth="1" min="4" max="4" width="24.0"/>
    <col customWidth="1" min="5" max="5" width="46.0"/>
    <col customWidth="1" min="6" max="26" width="8.71"/>
  </cols>
  <sheetData>
    <row r="1">
      <c r="A1" s="1" t="s">
        <v>184</v>
      </c>
    </row>
    <row r="2">
      <c r="A2" s="2" t="s">
        <v>186</v>
      </c>
    </row>
    <row r="4" ht="27.75" customHeight="1">
      <c r="A4" s="5" t="s">
        <v>19</v>
      </c>
      <c r="B4" s="5" t="s">
        <v>23</v>
      </c>
      <c r="C4" s="5" t="s">
        <v>25</v>
      </c>
      <c r="D4" s="5" t="s">
        <v>28</v>
      </c>
      <c r="E4" s="5" t="s">
        <v>191</v>
      </c>
    </row>
    <row r="5">
      <c r="A5" s="4" t="s">
        <v>194</v>
      </c>
      <c r="B5" s="4">
        <v>22200.0</v>
      </c>
      <c r="C5" s="4">
        <v>30.0</v>
      </c>
      <c r="D5" s="4" t="s">
        <v>96</v>
      </c>
      <c r="E5" s="4" t="s">
        <v>195</v>
      </c>
    </row>
    <row r="6">
      <c r="A6" s="4" t="s">
        <v>197</v>
      </c>
      <c r="B6" s="4">
        <v>18100.0</v>
      </c>
      <c r="C6" s="4">
        <v>37.0</v>
      </c>
      <c r="D6" s="4" t="s">
        <v>80</v>
      </c>
      <c r="E6" s="4" t="s">
        <v>195</v>
      </c>
    </row>
    <row r="7">
      <c r="A7" s="4" t="s">
        <v>199</v>
      </c>
      <c r="B7" s="4">
        <v>8100.0</v>
      </c>
      <c r="C7" s="4">
        <v>39.0</v>
      </c>
      <c r="D7" s="4" t="s">
        <v>104</v>
      </c>
      <c r="E7" s="4" t="s">
        <v>195</v>
      </c>
    </row>
    <row r="8">
      <c r="A8" s="4" t="s">
        <v>201</v>
      </c>
      <c r="B8" s="4">
        <v>3600.0</v>
      </c>
      <c r="C8" s="4">
        <v>36.0</v>
      </c>
      <c r="D8" s="4" t="s">
        <v>96</v>
      </c>
      <c r="E8" s="4" t="s">
        <v>195</v>
      </c>
    </row>
    <row r="9">
      <c r="A9" s="4" t="s">
        <v>203</v>
      </c>
      <c r="B9" s="4">
        <v>2400.0</v>
      </c>
      <c r="C9" s="4">
        <v>36.0</v>
      </c>
      <c r="D9" s="4" t="s">
        <v>104</v>
      </c>
      <c r="E9" s="4" t="s">
        <v>195</v>
      </c>
    </row>
    <row r="10">
      <c r="A10" s="4" t="s">
        <v>205</v>
      </c>
      <c r="B10" s="4">
        <v>880.0</v>
      </c>
      <c r="C10" s="4">
        <v>24.0</v>
      </c>
      <c r="D10" s="4" t="s">
        <v>80</v>
      </c>
      <c r="E10" s="4" t="s">
        <v>195</v>
      </c>
    </row>
    <row r="11">
      <c r="A11" s="4" t="s">
        <v>207</v>
      </c>
      <c r="B11" s="4">
        <v>720.0</v>
      </c>
      <c r="C11" s="4">
        <v>28.0</v>
      </c>
      <c r="D11" s="4" t="s">
        <v>104</v>
      </c>
      <c r="E11" s="4" t="s">
        <v>195</v>
      </c>
    </row>
    <row r="12">
      <c r="A12" s="4" t="s">
        <v>210</v>
      </c>
      <c r="B12" s="4">
        <v>590.0</v>
      </c>
      <c r="C12" s="4">
        <v>25.0</v>
      </c>
      <c r="D12" s="4" t="s">
        <v>80</v>
      </c>
      <c r="E12" s="4" t="s">
        <v>195</v>
      </c>
    </row>
    <row r="13">
      <c r="A13" s="4" t="s">
        <v>212</v>
      </c>
      <c r="B13" s="4">
        <v>590.0</v>
      </c>
      <c r="C13" s="4">
        <v>20.0</v>
      </c>
      <c r="D13" s="4" t="s">
        <v>80</v>
      </c>
      <c r="E13" s="4" t="s">
        <v>195</v>
      </c>
    </row>
    <row r="14">
      <c r="A14" s="4" t="s">
        <v>216</v>
      </c>
      <c r="B14" s="4">
        <v>480.0</v>
      </c>
      <c r="C14" s="4">
        <v>22.0</v>
      </c>
      <c r="D14" s="4" t="s">
        <v>80</v>
      </c>
      <c r="E14" s="4" t="s">
        <v>195</v>
      </c>
    </row>
    <row r="15">
      <c r="A15" s="4" t="s">
        <v>219</v>
      </c>
      <c r="B15" s="4">
        <v>480.0</v>
      </c>
      <c r="C15" s="4">
        <v>28.0</v>
      </c>
      <c r="D15" s="4" t="s">
        <v>52</v>
      </c>
      <c r="E15" s="4" t="s">
        <v>195</v>
      </c>
    </row>
    <row r="16">
      <c r="A16" s="4" t="s">
        <v>221</v>
      </c>
      <c r="B16" s="4">
        <v>480.0</v>
      </c>
      <c r="C16" s="4">
        <v>23.0</v>
      </c>
      <c r="D16" s="4" t="s">
        <v>80</v>
      </c>
      <c r="E16" s="4" t="s">
        <v>224</v>
      </c>
    </row>
    <row r="17">
      <c r="A17" s="4" t="s">
        <v>226</v>
      </c>
      <c r="B17" s="4">
        <v>480.0</v>
      </c>
      <c r="C17" s="4">
        <v>23.0</v>
      </c>
      <c r="D17" s="4" t="s">
        <v>96</v>
      </c>
      <c r="E17" s="4" t="s">
        <v>224</v>
      </c>
    </row>
    <row r="18">
      <c r="A18" s="4" t="s">
        <v>229</v>
      </c>
      <c r="B18" s="4">
        <v>480.0</v>
      </c>
      <c r="C18" s="4">
        <v>23.0</v>
      </c>
      <c r="D18" s="4" t="s">
        <v>80</v>
      </c>
      <c r="E18" s="4" t="s">
        <v>224</v>
      </c>
    </row>
    <row r="19">
      <c r="A19" s="4" t="s">
        <v>234</v>
      </c>
      <c r="B19" s="4">
        <v>320.0</v>
      </c>
      <c r="C19" s="4">
        <v>34.0</v>
      </c>
      <c r="D19" s="4" t="s">
        <v>80</v>
      </c>
      <c r="E19" s="4" t="s">
        <v>195</v>
      </c>
    </row>
    <row r="20">
      <c r="A20" s="4" t="s">
        <v>236</v>
      </c>
      <c r="B20" s="4">
        <v>320.0</v>
      </c>
      <c r="C20" s="4">
        <v>33.0</v>
      </c>
      <c r="D20" s="4" t="s">
        <v>80</v>
      </c>
      <c r="E20" s="4" t="s">
        <v>195</v>
      </c>
    </row>
    <row r="21" ht="15.75" customHeight="1">
      <c r="A21" s="4" t="s">
        <v>238</v>
      </c>
      <c r="B21" s="4">
        <v>260.0</v>
      </c>
      <c r="C21" s="4">
        <v>42.0</v>
      </c>
      <c r="D21" s="4" t="s">
        <v>52</v>
      </c>
      <c r="E21" s="4" t="s">
        <v>195</v>
      </c>
    </row>
    <row r="22" ht="15.75" customHeight="1">
      <c r="A22" s="4" t="s">
        <v>241</v>
      </c>
      <c r="B22" s="4">
        <v>260.0</v>
      </c>
      <c r="C22" s="4">
        <v>44.0</v>
      </c>
      <c r="D22" s="4" t="s">
        <v>80</v>
      </c>
      <c r="E22" s="4" t="s">
        <v>195</v>
      </c>
    </row>
    <row r="23" ht="15.75" customHeight="1">
      <c r="A23" s="4" t="s">
        <v>243</v>
      </c>
      <c r="B23" s="4">
        <v>260.0</v>
      </c>
      <c r="C23" s="4">
        <v>27.0</v>
      </c>
      <c r="D23" s="4" t="s">
        <v>80</v>
      </c>
      <c r="E23" s="4" t="s">
        <v>54</v>
      </c>
    </row>
    <row r="24" ht="15.75" customHeight="1">
      <c r="A24" s="4" t="s">
        <v>248</v>
      </c>
      <c r="B24" s="4">
        <v>260.0</v>
      </c>
      <c r="C24" s="4">
        <v>36.0</v>
      </c>
      <c r="D24" s="4" t="s">
        <v>52</v>
      </c>
      <c r="E24" s="4" t="s">
        <v>195</v>
      </c>
    </row>
    <row r="25" ht="15.75" customHeight="1">
      <c r="A25" s="4" t="s">
        <v>250</v>
      </c>
      <c r="B25" s="4">
        <v>260.0</v>
      </c>
      <c r="C25" s="4">
        <v>12.0</v>
      </c>
      <c r="D25" s="4" t="s">
        <v>96</v>
      </c>
      <c r="E25" s="4" t="s">
        <v>195</v>
      </c>
    </row>
    <row r="26" ht="15.75" customHeight="1">
      <c r="A26" s="4" t="s">
        <v>255</v>
      </c>
      <c r="B26" s="4">
        <v>260.0</v>
      </c>
      <c r="C26" s="4">
        <v>16.0</v>
      </c>
      <c r="D26" s="4" t="s">
        <v>79</v>
      </c>
      <c r="E26" s="4" t="s">
        <v>195</v>
      </c>
    </row>
    <row r="27" ht="15.75" customHeight="1">
      <c r="A27" s="4" t="s">
        <v>258</v>
      </c>
      <c r="B27" s="4">
        <v>210.0</v>
      </c>
      <c r="C27" s="4">
        <v>21.0</v>
      </c>
      <c r="D27" s="4" t="s">
        <v>79</v>
      </c>
      <c r="E27" s="4" t="s">
        <v>224</v>
      </c>
    </row>
    <row r="28" ht="15.75" customHeight="1">
      <c r="A28" s="4" t="s">
        <v>261</v>
      </c>
      <c r="B28" s="4">
        <v>210.0</v>
      </c>
      <c r="C28" s="4">
        <v>34.0</v>
      </c>
      <c r="D28" s="4" t="s">
        <v>80</v>
      </c>
      <c r="E28" s="4" t="s">
        <v>224</v>
      </c>
    </row>
    <row r="29" ht="15.75" customHeight="1">
      <c r="A29" s="4" t="s">
        <v>264</v>
      </c>
      <c r="B29" s="4">
        <v>170.0</v>
      </c>
      <c r="C29" s="4">
        <v>17.0</v>
      </c>
      <c r="D29" s="4" t="s">
        <v>80</v>
      </c>
      <c r="E29" s="4" t="s">
        <v>224</v>
      </c>
    </row>
    <row r="30" ht="15.75" customHeight="1">
      <c r="A30" s="4" t="s">
        <v>266</v>
      </c>
      <c r="B30" s="4">
        <v>170.0</v>
      </c>
      <c r="C30" s="4">
        <v>10.0</v>
      </c>
      <c r="D30" s="4" t="s">
        <v>80</v>
      </c>
      <c r="E30" s="4" t="s">
        <v>195</v>
      </c>
    </row>
    <row r="31" ht="15.75" customHeight="1">
      <c r="A31" s="4" t="s">
        <v>268</v>
      </c>
      <c r="B31" s="4">
        <v>170.0</v>
      </c>
      <c r="C31" s="4">
        <v>27.0</v>
      </c>
      <c r="D31" s="4" t="s">
        <v>52</v>
      </c>
      <c r="E31" s="4" t="s">
        <v>195</v>
      </c>
    </row>
    <row r="32" ht="15.75" customHeight="1">
      <c r="A32" s="4" t="s">
        <v>270</v>
      </c>
      <c r="B32" s="4">
        <v>170.0</v>
      </c>
      <c r="C32" s="4">
        <v>30.0</v>
      </c>
      <c r="D32" s="4" t="s">
        <v>79</v>
      </c>
      <c r="E32" s="4" t="s">
        <v>195</v>
      </c>
    </row>
    <row r="33" ht="15.75" customHeight="1">
      <c r="A33" s="4" t="s">
        <v>272</v>
      </c>
      <c r="B33" s="4">
        <v>140.0</v>
      </c>
      <c r="C33" s="4">
        <v>22.0</v>
      </c>
      <c r="D33" s="4" t="s">
        <v>52</v>
      </c>
      <c r="E33" s="4" t="s">
        <v>195</v>
      </c>
    </row>
    <row r="34" ht="15.75" customHeight="1">
      <c r="A34" s="4" t="s">
        <v>275</v>
      </c>
      <c r="B34" s="4">
        <v>140.0</v>
      </c>
      <c r="C34" s="4">
        <v>36.0</v>
      </c>
      <c r="D34" s="4" t="s">
        <v>80</v>
      </c>
      <c r="E34" s="4" t="s">
        <v>195</v>
      </c>
    </row>
    <row r="35" ht="15.75" customHeight="1">
      <c r="A35" s="4" t="s">
        <v>277</v>
      </c>
      <c r="B35" s="4">
        <v>140.0</v>
      </c>
      <c r="C35" s="4">
        <v>40.0</v>
      </c>
      <c r="D35" s="4" t="s">
        <v>79</v>
      </c>
      <c r="E35" s="4" t="s">
        <v>195</v>
      </c>
    </row>
    <row r="36" ht="15.75" customHeight="1">
      <c r="A36" s="4" t="s">
        <v>280</v>
      </c>
      <c r="B36" s="4">
        <v>140.0</v>
      </c>
      <c r="C36" s="4">
        <v>16.0</v>
      </c>
      <c r="D36" s="4" t="s">
        <v>96</v>
      </c>
      <c r="E36" s="4" t="s">
        <v>195</v>
      </c>
    </row>
    <row r="37" ht="15.75" customHeight="1">
      <c r="A37" s="4" t="s">
        <v>282</v>
      </c>
      <c r="B37" s="4">
        <v>140.0</v>
      </c>
      <c r="C37" s="4">
        <v>44.0</v>
      </c>
      <c r="D37" s="4" t="s">
        <v>80</v>
      </c>
      <c r="E37" s="4" t="s">
        <v>195</v>
      </c>
    </row>
    <row r="38" ht="15.75" customHeight="1">
      <c r="A38" s="4" t="s">
        <v>286</v>
      </c>
      <c r="B38" s="4">
        <v>140.0</v>
      </c>
      <c r="C38" s="4">
        <v>36.0</v>
      </c>
      <c r="D38" s="4" t="s">
        <v>80</v>
      </c>
      <c r="E38" s="4" t="s">
        <v>195</v>
      </c>
    </row>
    <row r="39" ht="15.75" customHeight="1">
      <c r="A39" s="4" t="s">
        <v>289</v>
      </c>
      <c r="B39" s="4">
        <v>110.0</v>
      </c>
      <c r="C39" s="4">
        <v>26.0</v>
      </c>
      <c r="D39" s="4" t="s">
        <v>79</v>
      </c>
      <c r="E39" s="4" t="s">
        <v>195</v>
      </c>
    </row>
    <row r="40" ht="15.75" customHeight="1">
      <c r="A40" s="4" t="s">
        <v>291</v>
      </c>
      <c r="B40" s="4">
        <v>110.0</v>
      </c>
      <c r="C40" s="4">
        <v>22.0</v>
      </c>
      <c r="D40" s="4" t="s">
        <v>80</v>
      </c>
      <c r="E40" s="4" t="s">
        <v>195</v>
      </c>
    </row>
    <row r="41" ht="15.75" customHeight="1">
      <c r="A41" s="4" t="s">
        <v>294</v>
      </c>
      <c r="B41" s="4">
        <v>110.0</v>
      </c>
      <c r="C41" s="4">
        <v>33.0</v>
      </c>
      <c r="D41" s="4" t="s">
        <v>80</v>
      </c>
      <c r="E41" s="4" t="s">
        <v>195</v>
      </c>
    </row>
    <row r="42" ht="15.75" customHeight="1">
      <c r="A42" s="4" t="s">
        <v>296</v>
      </c>
      <c r="B42" s="4">
        <v>110.0</v>
      </c>
      <c r="C42" s="4">
        <v>44.0</v>
      </c>
      <c r="D42" s="4" t="s">
        <v>52</v>
      </c>
      <c r="E42" s="4" t="s">
        <v>195</v>
      </c>
    </row>
    <row r="43" ht="15.75" customHeight="1">
      <c r="A43" s="4" t="s">
        <v>299</v>
      </c>
      <c r="B43" s="4">
        <v>90.0</v>
      </c>
      <c r="C43" s="4">
        <v>38.0</v>
      </c>
      <c r="D43" s="4" t="s">
        <v>80</v>
      </c>
      <c r="E43" s="4" t="s">
        <v>224</v>
      </c>
    </row>
    <row r="44" ht="15.75" customHeight="1">
      <c r="A44" s="4" t="s">
        <v>301</v>
      </c>
      <c r="B44" s="4">
        <v>90.0</v>
      </c>
      <c r="C44" s="4">
        <v>16.0</v>
      </c>
      <c r="D44" s="4" t="s">
        <v>79</v>
      </c>
      <c r="E44" s="4" t="s">
        <v>195</v>
      </c>
    </row>
    <row r="45" ht="15.75" customHeight="1">
      <c r="A45" s="4" t="s">
        <v>304</v>
      </c>
      <c r="B45" s="4">
        <v>90.0</v>
      </c>
      <c r="C45" s="4">
        <v>45.0</v>
      </c>
      <c r="D45" s="4" t="s">
        <v>52</v>
      </c>
      <c r="E45" s="4" t="s">
        <v>195</v>
      </c>
    </row>
    <row r="46" ht="15.75" customHeight="1">
      <c r="A46" s="4" t="s">
        <v>306</v>
      </c>
      <c r="B46" s="4">
        <v>90.0</v>
      </c>
      <c r="C46" s="4">
        <v>26.0</v>
      </c>
      <c r="D46" s="4" t="s">
        <v>52</v>
      </c>
      <c r="E46" s="4" t="s">
        <v>195</v>
      </c>
    </row>
    <row r="47" ht="15.75" customHeight="1">
      <c r="A47" s="4" t="s">
        <v>309</v>
      </c>
      <c r="B47" s="4">
        <v>90.0</v>
      </c>
      <c r="C47" s="4">
        <v>35.0</v>
      </c>
      <c r="D47" s="4" t="s">
        <v>52</v>
      </c>
      <c r="E47" s="4" t="s">
        <v>195</v>
      </c>
    </row>
    <row r="48" ht="15.75" customHeight="1">
      <c r="A48" s="4" t="s">
        <v>310</v>
      </c>
      <c r="B48" s="4">
        <v>90.0</v>
      </c>
      <c r="C48" s="4">
        <v>15.0</v>
      </c>
      <c r="D48" s="4" t="s">
        <v>80</v>
      </c>
      <c r="E48" s="4" t="s">
        <v>195</v>
      </c>
    </row>
    <row r="49" ht="15.75" customHeight="1">
      <c r="A49" s="4" t="s">
        <v>313</v>
      </c>
      <c r="B49" s="4">
        <v>90.0</v>
      </c>
      <c r="C49" s="4">
        <v>26.0</v>
      </c>
      <c r="D49" s="4" t="s">
        <v>52</v>
      </c>
      <c r="E49" s="4" t="s">
        <v>195</v>
      </c>
    </row>
    <row r="50" ht="15.75" customHeight="1">
      <c r="A50" s="4" t="s">
        <v>315</v>
      </c>
      <c r="B50" s="4">
        <v>70.0</v>
      </c>
      <c r="C50" s="4">
        <v>11.0</v>
      </c>
      <c r="D50" s="4" t="s">
        <v>52</v>
      </c>
      <c r="E50" s="4" t="s">
        <v>195</v>
      </c>
    </row>
    <row r="51" ht="15.75" customHeight="1">
      <c r="A51" s="4" t="s">
        <v>318</v>
      </c>
      <c r="B51" s="4">
        <v>70.0</v>
      </c>
      <c r="C51" s="4">
        <v>31.0</v>
      </c>
      <c r="D51" s="4" t="s">
        <v>80</v>
      </c>
      <c r="E51" s="4" t="s">
        <v>195</v>
      </c>
    </row>
    <row r="52" ht="15.75" customHeight="1">
      <c r="A52" s="4" t="s">
        <v>320</v>
      </c>
      <c r="B52" s="4">
        <v>70.0</v>
      </c>
      <c r="C52" s="4">
        <v>20.0</v>
      </c>
      <c r="D52" s="4" t="s">
        <v>96</v>
      </c>
      <c r="E52" s="4" t="s">
        <v>195</v>
      </c>
    </row>
    <row r="53" ht="15.75" customHeight="1">
      <c r="A53" s="4" t="s">
        <v>322</v>
      </c>
      <c r="B53" s="4">
        <v>70.0</v>
      </c>
      <c r="C53" s="4">
        <v>15.0</v>
      </c>
      <c r="D53" s="4" t="s">
        <v>80</v>
      </c>
      <c r="E53" s="4" t="s">
        <v>195</v>
      </c>
    </row>
    <row r="54" ht="15.75" customHeight="1">
      <c r="A54" s="4" t="s">
        <v>324</v>
      </c>
      <c r="B54" s="4">
        <v>70.0</v>
      </c>
      <c r="C54" s="4">
        <v>12.0</v>
      </c>
      <c r="D54" s="4" t="s">
        <v>96</v>
      </c>
      <c r="E54" s="4" t="s">
        <v>224</v>
      </c>
    </row>
    <row r="55" ht="15.75" customHeight="1">
      <c r="A55" s="4" t="s">
        <v>327</v>
      </c>
      <c r="B55" s="4">
        <v>70.0</v>
      </c>
      <c r="C55" s="4">
        <v>21.0</v>
      </c>
      <c r="D55" s="4" t="s">
        <v>80</v>
      </c>
      <c r="E55" s="4" t="s">
        <v>330</v>
      </c>
    </row>
    <row r="56" ht="15.75" customHeight="1">
      <c r="A56" s="4" t="s">
        <v>331</v>
      </c>
      <c r="B56" s="4">
        <v>70.0</v>
      </c>
      <c r="C56" s="4">
        <v>18.0</v>
      </c>
      <c r="D56" s="4" t="s">
        <v>79</v>
      </c>
      <c r="E56" s="4" t="s">
        <v>195</v>
      </c>
    </row>
    <row r="57" ht="15.75" customHeight="1">
      <c r="A57" s="4" t="s">
        <v>333</v>
      </c>
      <c r="B57" s="4">
        <v>70.0</v>
      </c>
      <c r="C57" s="4">
        <v>20.0</v>
      </c>
      <c r="D57" s="4" t="s">
        <v>80</v>
      </c>
      <c r="E57" s="4" t="s">
        <v>195</v>
      </c>
    </row>
    <row r="58" ht="15.75" customHeight="1">
      <c r="A58" s="4" t="s">
        <v>336</v>
      </c>
      <c r="B58" s="4">
        <v>70.0</v>
      </c>
      <c r="C58" s="4">
        <v>21.0</v>
      </c>
      <c r="D58" s="4" t="s">
        <v>80</v>
      </c>
      <c r="E58" s="4" t="s">
        <v>195</v>
      </c>
    </row>
    <row r="59" ht="15.75" customHeight="1">
      <c r="A59" s="4" t="s">
        <v>338</v>
      </c>
      <c r="B59" s="4">
        <v>70.0</v>
      </c>
      <c r="C59" s="4">
        <v>40.0</v>
      </c>
      <c r="D59" s="4" t="s">
        <v>80</v>
      </c>
      <c r="E59" s="4" t="s">
        <v>195</v>
      </c>
    </row>
    <row r="60" ht="15.75" customHeight="1">
      <c r="A60" s="4" t="s">
        <v>342</v>
      </c>
      <c r="B60" s="4">
        <v>70.0</v>
      </c>
      <c r="C60" s="4">
        <v>39.0</v>
      </c>
      <c r="D60" s="4" t="s">
        <v>52</v>
      </c>
      <c r="E60" s="4" t="s">
        <v>195</v>
      </c>
    </row>
    <row r="61" ht="15.75" customHeight="1">
      <c r="A61" s="4" t="s">
        <v>344</v>
      </c>
      <c r="B61" s="4">
        <v>70.0</v>
      </c>
      <c r="C61" s="4">
        <v>10.0</v>
      </c>
      <c r="D61" s="4" t="s">
        <v>80</v>
      </c>
      <c r="E61" s="4" t="s">
        <v>195</v>
      </c>
    </row>
    <row r="62" ht="15.75" customHeight="1">
      <c r="A62" s="4" t="s">
        <v>346</v>
      </c>
      <c r="B62" s="4">
        <v>70.0</v>
      </c>
      <c r="C62" s="4">
        <v>35.0</v>
      </c>
      <c r="D62" s="4" t="s">
        <v>80</v>
      </c>
      <c r="E62" s="4" t="s">
        <v>195</v>
      </c>
    </row>
    <row r="63" ht="15.75" customHeight="1">
      <c r="A63" s="4" t="s">
        <v>348</v>
      </c>
      <c r="B63" s="4">
        <v>50.0</v>
      </c>
      <c r="C63" s="4">
        <v>32.0</v>
      </c>
      <c r="D63" s="4" t="s">
        <v>52</v>
      </c>
      <c r="E63" s="4" t="s">
        <v>195</v>
      </c>
    </row>
    <row r="64" ht="15.75" customHeight="1">
      <c r="A64" s="4" t="s">
        <v>350</v>
      </c>
      <c r="B64" s="4">
        <v>50.0</v>
      </c>
      <c r="C64" s="4">
        <v>45.0</v>
      </c>
      <c r="D64" s="4" t="s">
        <v>104</v>
      </c>
      <c r="E64" s="4" t="s">
        <v>195</v>
      </c>
    </row>
    <row r="65" ht="15.75" customHeight="1">
      <c r="A65" s="4" t="s">
        <v>353</v>
      </c>
      <c r="B65" s="4">
        <v>50.0</v>
      </c>
      <c r="C65" s="4">
        <v>11.0</v>
      </c>
      <c r="D65" s="4" t="s">
        <v>79</v>
      </c>
      <c r="E65" s="4" t="s">
        <v>195</v>
      </c>
    </row>
    <row r="66" ht="15.75" customHeight="1">
      <c r="A66" s="4" t="s">
        <v>355</v>
      </c>
      <c r="B66" s="4">
        <v>50.0</v>
      </c>
      <c r="C66" s="4">
        <v>16.0</v>
      </c>
      <c r="D66" s="4" t="s">
        <v>52</v>
      </c>
      <c r="E66" s="4" t="s">
        <v>195</v>
      </c>
    </row>
    <row r="67" ht="15.75" customHeight="1">
      <c r="A67" s="4" t="s">
        <v>358</v>
      </c>
      <c r="B67" s="4">
        <v>40.0</v>
      </c>
      <c r="C67" s="4">
        <v>18.0</v>
      </c>
      <c r="D67" s="4" t="s">
        <v>80</v>
      </c>
      <c r="E67" s="4" t="s">
        <v>224</v>
      </c>
    </row>
    <row r="68" ht="15.75" customHeight="1">
      <c r="A68" s="4" t="s">
        <v>359</v>
      </c>
      <c r="B68" s="4">
        <v>40.0</v>
      </c>
      <c r="C68" s="4">
        <v>8.0</v>
      </c>
      <c r="D68" s="4" t="s">
        <v>52</v>
      </c>
      <c r="E68" s="4" t="s">
        <v>195</v>
      </c>
    </row>
    <row r="69" ht="15.75" customHeight="1">
      <c r="A69" s="4" t="s">
        <v>362</v>
      </c>
      <c r="B69" s="4">
        <v>40.0</v>
      </c>
      <c r="C69" s="4">
        <v>27.0</v>
      </c>
      <c r="D69" s="4" t="s">
        <v>79</v>
      </c>
      <c r="E69" s="4" t="s">
        <v>195</v>
      </c>
    </row>
    <row r="70" ht="15.75" customHeight="1">
      <c r="A70" s="4" t="s">
        <v>365</v>
      </c>
      <c r="B70" s="4">
        <v>40.0</v>
      </c>
      <c r="C70" s="4">
        <v>15.0</v>
      </c>
      <c r="D70" s="4" t="s">
        <v>80</v>
      </c>
      <c r="E70" s="4" t="s">
        <v>224</v>
      </c>
    </row>
    <row r="71" ht="15.75" customHeight="1">
      <c r="A71" s="4" t="s">
        <v>368</v>
      </c>
      <c r="B71" s="4">
        <v>40.0</v>
      </c>
      <c r="C71" s="4">
        <v>22.0</v>
      </c>
      <c r="D71" s="4" t="s">
        <v>52</v>
      </c>
      <c r="E71" s="4" t="s">
        <v>195</v>
      </c>
    </row>
    <row r="72" ht="15.75" customHeight="1">
      <c r="A72" s="4" t="s">
        <v>371</v>
      </c>
      <c r="B72" s="4">
        <v>40.0</v>
      </c>
      <c r="C72" s="4">
        <v>20.0</v>
      </c>
      <c r="D72" s="4" t="s">
        <v>80</v>
      </c>
      <c r="E72" s="4" t="s">
        <v>195</v>
      </c>
    </row>
    <row r="73" ht="15.75" customHeight="1">
      <c r="A73" s="4" t="s">
        <v>374</v>
      </c>
      <c r="B73" s="4">
        <v>30.0</v>
      </c>
      <c r="C73" s="4">
        <v>10.0</v>
      </c>
      <c r="D73" s="4" t="s">
        <v>96</v>
      </c>
      <c r="E73" s="4" t="s">
        <v>195</v>
      </c>
    </row>
    <row r="74" ht="15.75" customHeight="1">
      <c r="A74" s="4" t="s">
        <v>376</v>
      </c>
      <c r="B74" s="4">
        <v>30.0</v>
      </c>
      <c r="C74" s="4">
        <v>27.0</v>
      </c>
      <c r="D74" s="4" t="s">
        <v>80</v>
      </c>
      <c r="E74" s="4" t="s">
        <v>195</v>
      </c>
    </row>
    <row r="75" ht="15.75" customHeight="1">
      <c r="A75" s="4" t="s">
        <v>380</v>
      </c>
      <c r="B75" s="4">
        <v>30.0</v>
      </c>
      <c r="C75" s="4">
        <v>21.0</v>
      </c>
      <c r="D75" s="4" t="s">
        <v>96</v>
      </c>
      <c r="E75" s="4" t="s">
        <v>195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